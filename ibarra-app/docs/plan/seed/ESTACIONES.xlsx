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IS\Documents\progamacion\Transporte\ibarra-app\docs\plan\seed\"/>
    </mc:Choice>
  </mc:AlternateContent>
  <bookViews>
    <workbookView xWindow="0" yWindow="0" windowWidth="21570" windowHeight="799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9" i="1" l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<sst xmlns="http://schemas.openxmlformats.org/spreadsheetml/2006/main" count="887" uniqueCount="654">
  <si>
    <t>ZONA</t>
  </si>
  <si>
    <t>AUTOPISTA</t>
  </si>
  <si>
    <t>AUXILIAR</t>
  </si>
  <si>
    <t>CODIGO</t>
  </si>
  <si>
    <t>DIRECCION</t>
  </si>
  <si>
    <t>LATITUD</t>
  </si>
  <si>
    <t>LONGITUD</t>
  </si>
  <si>
    <t>CAMINO</t>
  </si>
  <si>
    <t>ESTACION</t>
  </si>
  <si>
    <t>9 DE JULIO - RUTA 5 KM 244</t>
  </si>
  <si>
    <t>CORREDORES VIALES SA</t>
  </si>
  <si>
    <t>CCAG2</t>
  </si>
  <si>
    <t>telepeajeplus</t>
  </si>
  <si>
    <t>-35.360452</t>
  </si>
  <si>
    <t>-60.702857</t>
  </si>
  <si>
    <t>RUTA 5 KM 244</t>
  </si>
  <si>
    <t>Autopista Pilar-Cordoba</t>
  </si>
  <si>
    <t>CAMINOS DE LAS SIERRAS</t>
  </si>
  <si>
    <t>SIER1</t>
  </si>
  <si>
    <t>-31.539977</t>
  </si>
  <si>
    <t>-63.971942</t>
  </si>
  <si>
    <t>AUTOPISTA PILAR - CORDOBA</t>
  </si>
  <si>
    <t>BARCALA</t>
  </si>
  <si>
    <t>AUTOPISTA DEL OESTE</t>
  </si>
  <si>
    <t>OEST7</t>
  </si>
  <si>
    <t>-34.632848</t>
  </si>
  <si>
    <t>-58.664518</t>
  </si>
  <si>
    <t>COLECTORAS</t>
  </si>
  <si>
    <t>ALBERTI</t>
  </si>
  <si>
    <t>AUSA</t>
  </si>
  <si>
    <t>AUSA7</t>
  </si>
  <si>
    <t>-34.625268</t>
  </si>
  <si>
    <t>-58.400129</t>
  </si>
  <si>
    <t>COLECTORA 25 DE MAYO</t>
  </si>
  <si>
    <t>BELGRANO</t>
  </si>
  <si>
    <t>AUSOL</t>
  </si>
  <si>
    <t>AUSO10</t>
  </si>
  <si>
    <t>-34.483687</t>
  </si>
  <si>
    <t>-58.626305</t>
  </si>
  <si>
    <t>BERAZATEGUI</t>
  </si>
  <si>
    <t>AUBASA</t>
  </si>
  <si>
    <t>AUBA5</t>
  </si>
  <si>
    <t>-34.753634</t>
  </si>
  <si>
    <t>-58.190556</t>
  </si>
  <si>
    <t>BERNAL</t>
  </si>
  <si>
    <t>AUBA3</t>
  </si>
  <si>
    <t>-34.701119</t>
  </si>
  <si>
    <t>-58.274667</t>
  </si>
  <si>
    <t>BOULOGNE SUR ME</t>
  </si>
  <si>
    <t>AUSU3</t>
  </si>
  <si>
    <t>-34.704537</t>
  </si>
  <si>
    <t>-58.499516</t>
  </si>
  <si>
    <t>COLECTORA AUTOPISTA RICCHIERI</t>
  </si>
  <si>
    <t>BRANDSEN</t>
  </si>
  <si>
    <t>OEST6</t>
  </si>
  <si>
    <t>-34.628215</t>
  </si>
  <si>
    <t>-58.705688</t>
  </si>
  <si>
    <t>BUEN AYRE</t>
  </si>
  <si>
    <t>AUSO8</t>
  </si>
  <si>
    <t>-34.487725</t>
  </si>
  <si>
    <t>-58.589662</t>
  </si>
  <si>
    <t>OEST5</t>
  </si>
  <si>
    <t>-34.628110</t>
  </si>
  <si>
    <t>-58.728036</t>
  </si>
  <si>
    <t>CABECERA NORTE</t>
  </si>
  <si>
    <t>CEAMCE</t>
  </si>
  <si>
    <t>CEAM2</t>
  </si>
  <si>
    <t>-34.503398</t>
  </si>
  <si>
    <t>-58.589564</t>
  </si>
  <si>
    <t>CAMINO DEL BUEN AYRE</t>
  </si>
  <si>
    <t>CABECERA OESTE</t>
  </si>
  <si>
    <t>CEAM1</t>
  </si>
  <si>
    <t>-34.615135</t>
  </si>
  <si>
    <t>-58.719271</t>
  </si>
  <si>
    <t>CAMINO REAL</t>
  </si>
  <si>
    <t>AUSO7</t>
  </si>
  <si>
    <t>-34.487768</t>
  </si>
  <si>
    <t>-58.589139</t>
  </si>
  <si>
    <t>CAMPANA</t>
  </si>
  <si>
    <t>AUSO1</t>
  </si>
  <si>
    <t>Ruta 9 Ramal Escobar km 34, B1610 Ricardo Rojas, Buenos Aires</t>
  </si>
  <si>
    <t>-34.458939</t>
  </si>
  <si>
    <t>-58.690663</t>
  </si>
  <si>
    <t>RUTA 9</t>
  </si>
  <si>
    <t>CAÑUELAS - RUTA 3 KM. 76</t>
  </si>
  <si>
    <t>AUSUT7</t>
  </si>
  <si>
    <t>-35.142942</t>
  </si>
  <si>
    <t>-58.740276</t>
  </si>
  <si>
    <t>RUTA 3</t>
  </si>
  <si>
    <t>CARCARAÑA - AUTOVIA ROSARIO - CORDOBA KM. 356</t>
  </si>
  <si>
    <t>CARC1</t>
  </si>
  <si>
    <t>-32.876366</t>
  </si>
  <si>
    <t>-61.169888</t>
  </si>
  <si>
    <t>AUTOPISTA ROSARIO-CORDOBA KM 340</t>
  </si>
  <si>
    <t>CERES - RUTA 34 KM 378</t>
  </si>
  <si>
    <t>CCEN4</t>
  </si>
  <si>
    <t>-29.946025</t>
  </si>
  <si>
    <t>-61.886494</t>
  </si>
  <si>
    <t>RUTA 34 KM 160</t>
  </si>
  <si>
    <t>COLONIA ELIA - RUTA 14 KM 100</t>
  </si>
  <si>
    <t>CAMINOS DEL RIO URUGUAY SA</t>
  </si>
  <si>
    <t>CDRU1</t>
  </si>
  <si>
    <t>-32.666996</t>
  </si>
  <si>
    <t>-58.441772</t>
  </si>
  <si>
    <t>RUTA 14 KM 100</t>
  </si>
  <si>
    <t>DEBENEDETTI</t>
  </si>
  <si>
    <t>AUSO3</t>
  </si>
  <si>
    <t>-34.512876</t>
  </si>
  <si>
    <t>-58.521948</t>
  </si>
  <si>
    <t>DELLEPIANE I</t>
  </si>
  <si>
    <t>AUSA1</t>
  </si>
  <si>
    <t>-34.647962</t>
  </si>
  <si>
    <t>-58.464184</t>
  </si>
  <si>
    <t>AUTOPISTA 25 DE MAYO SENTIDO MERCADO CENTRAL</t>
  </si>
  <si>
    <t>DELLEPIANE II</t>
  </si>
  <si>
    <t>AUTOPISTA 25 DE MAYO SENTIDO DOCK SUD</t>
  </si>
  <si>
    <t>DEL RODEO</t>
  </si>
  <si>
    <t>OEST18</t>
  </si>
  <si>
    <t>-34.582699</t>
  </si>
  <si>
    <t>-58.995731</t>
  </si>
  <si>
    <t>DERQUI</t>
  </si>
  <si>
    <t>OEST9</t>
  </si>
  <si>
    <t>-34.632475</t>
  </si>
  <si>
    <t>-58.611021</t>
  </si>
  <si>
    <t>DEVOTO - RUTA 19 KM 142</t>
  </si>
  <si>
    <t>CCEN3</t>
  </si>
  <si>
    <t>-31.410877</t>
  </si>
  <si>
    <t>-62.205417</t>
  </si>
  <si>
    <t>RUTA 19 KM 142</t>
  </si>
  <si>
    <t>DOCK SUD</t>
  </si>
  <si>
    <t>AUBA1</t>
  </si>
  <si>
    <t>-34.651174</t>
  </si>
  <si>
    <t>-58.353189</t>
  </si>
  <si>
    <t>AUTOPISTA DR. RICARDO BALVIN</t>
  </si>
  <si>
    <t>DOLORES PRATS</t>
  </si>
  <si>
    <t>OEST14</t>
  </si>
  <si>
    <t>-34.632256</t>
  </si>
  <si>
    <t>-58.598139</t>
  </si>
  <si>
    <t>MERCADO CENTRAL</t>
  </si>
  <si>
    <t>AUSU7</t>
  </si>
  <si>
    <t>-34.709679</t>
  </si>
  <si>
    <t>-58.503788</t>
  </si>
  <si>
    <t>DONOVAN</t>
  </si>
  <si>
    <t>AUSU2</t>
  </si>
  <si>
    <t>-34.708457</t>
  </si>
  <si>
    <t>-58.503603</t>
  </si>
  <si>
    <t>EL DORADO - RUTA 226 KM. 31</t>
  </si>
  <si>
    <t>ELDO1</t>
  </si>
  <si>
    <t>-37.884806</t>
  </si>
  <si>
    <t>-57.902077</t>
  </si>
  <si>
    <t>RUTA 226 KM 31</t>
  </si>
  <si>
    <t>EZEIZA</t>
  </si>
  <si>
    <t>AUSU5</t>
  </si>
  <si>
    <t>-34.829602</t>
  </si>
  <si>
    <t>-58.509833</t>
  </si>
  <si>
    <t>AUTOPISTA EZEIZA-CAÑUELAS</t>
  </si>
  <si>
    <t>FRANCK - RUTA 19 KM 20</t>
  </si>
  <si>
    <t>CCEN2</t>
  </si>
  <si>
    <t>-31.636226</t>
  </si>
  <si>
    <t>-60.974166</t>
  </si>
  <si>
    <t>RUTA 19 KM 20</t>
  </si>
  <si>
    <t>GUTIERREZ</t>
  </si>
  <si>
    <t>AUBA12</t>
  </si>
  <si>
    <t>-34.785167</t>
  </si>
  <si>
    <t>-58.152825</t>
  </si>
  <si>
    <t>GENERAL MADARIAGA</t>
  </si>
  <si>
    <t>AUBA10</t>
  </si>
  <si>
    <t>-37.035948</t>
  </si>
  <si>
    <t>-57.142962</t>
  </si>
  <si>
    <t>RUTA 74</t>
  </si>
  <si>
    <t>COMBATE DE PAVON</t>
  </si>
  <si>
    <t>CEAM10</t>
  </si>
  <si>
    <t>-34.568041</t>
  </si>
  <si>
    <t>-58.639474</t>
  </si>
  <si>
    <t>ACCESO A CAMINO DEL BUEN AYRE SUR</t>
  </si>
  <si>
    <t>CEAM11</t>
  </si>
  <si>
    <t>-34.533383</t>
  </si>
  <si>
    <t>-58.597154</t>
  </si>
  <si>
    <t>ACCESO A CAMINO DEL BUEN AYRE NORTE</t>
  </si>
  <si>
    <t>GORRITI ASCENDENTE</t>
  </si>
  <si>
    <t>CEAM9</t>
  </si>
  <si>
    <t>-34.583853</t>
  </si>
  <si>
    <t>-58.678158</t>
  </si>
  <si>
    <t>GORRITI DESCENDENTE</t>
  </si>
  <si>
    <t>CEAM8</t>
  </si>
  <si>
    <t>-34.583700</t>
  </si>
  <si>
    <t>-58.675930</t>
  </si>
  <si>
    <t>GRAL.RODRIGUEZ</t>
  </si>
  <si>
    <t>OEST12</t>
  </si>
  <si>
    <t>-34.593568</t>
  </si>
  <si>
    <t>-58.946167</t>
  </si>
  <si>
    <t>HINOJO - RUTA 226 KM. 276</t>
  </si>
  <si>
    <t>HINO</t>
  </si>
  <si>
    <t>-36.861793</t>
  </si>
  <si>
    <t>-60.122772</t>
  </si>
  <si>
    <t>RUTA 226 KM 276</t>
  </si>
  <si>
    <t>MADARIAGA</t>
  </si>
  <si>
    <t>AUBA11</t>
  </si>
  <si>
    <t>HUDSON</t>
  </si>
  <si>
    <t>AUBA2</t>
  </si>
  <si>
    <t>-34.774081</t>
  </si>
  <si>
    <t>-58.163474</t>
  </si>
  <si>
    <t>ISLA LA DESEADA - RUTA 174 KM 5,2 (Pte. Rosario-Victoria)</t>
  </si>
  <si>
    <t>CDRU5</t>
  </si>
  <si>
    <t>-32.865372</t>
  </si>
  <si>
    <t>-60.651109</t>
  </si>
  <si>
    <t>RUTA 174 KM 5</t>
  </si>
  <si>
    <t>ITUZAINGÓ</t>
  </si>
  <si>
    <t>OEST2</t>
  </si>
  <si>
    <t>-34.631136</t>
  </si>
  <si>
    <t>-58.676026</t>
  </si>
  <si>
    <t>AUTOPISTA ACCESO OESTE</t>
  </si>
  <si>
    <t>JAMES CRAIK - AUTOVIA ROSARIO - CORDOBA KM. 595</t>
  </si>
  <si>
    <t>JAME1</t>
  </si>
  <si>
    <t>-32.188658</t>
  </si>
  <si>
    <t>-63.389340</t>
  </si>
  <si>
    <t>AUTOPISTA ROSARIO-CORDOBA KM 588</t>
  </si>
  <si>
    <t>JUNIN (R7) - RUTA 7 KM. 272</t>
  </si>
  <si>
    <t>JUNI1</t>
  </si>
  <si>
    <t>-34.579294</t>
  </si>
  <si>
    <t>-61.094056</t>
  </si>
  <si>
    <t>RUTA 7 KM 272</t>
  </si>
  <si>
    <t>LA HUELLA</t>
  </si>
  <si>
    <t>AUBA8</t>
  </si>
  <si>
    <t>-36.428082</t>
  </si>
  <si>
    <t>-57.351004</t>
  </si>
  <si>
    <t>RUTA 11</t>
  </si>
  <si>
    <t>LA PAZ - RUTA 7 KM 899</t>
  </si>
  <si>
    <t>LAPA1</t>
  </si>
  <si>
    <t>-33.929730</t>
  </si>
  <si>
    <t>-64.452027</t>
  </si>
  <si>
    <t>RUTA 7 KM 899</t>
  </si>
  <si>
    <t>LAGOS - RUTA 9 KM. 272</t>
  </si>
  <si>
    <t>LAGO1</t>
  </si>
  <si>
    <t>-33.128840</t>
  </si>
  <si>
    <t>-60.578008</t>
  </si>
  <si>
    <t>RUTA 9 KM. 272</t>
  </si>
  <si>
    <t>LARENA - RUTA 8 KM 65</t>
  </si>
  <si>
    <t>LARE1</t>
  </si>
  <si>
    <t>-34.403064</t>
  </si>
  <si>
    <t>-59.013834</t>
  </si>
  <si>
    <t>RUTA 8 KM 65</t>
  </si>
  <si>
    <t>J.J.CASTRO</t>
  </si>
  <si>
    <t>OEST16</t>
  </si>
  <si>
    <t>-34.588429</t>
  </si>
  <si>
    <t>-58.969269</t>
  </si>
  <si>
    <t>LUJAN</t>
  </si>
  <si>
    <t>OEST1</t>
  </si>
  <si>
    <t>-34.579930</t>
  </si>
  <si>
    <t>-59.007648</t>
  </si>
  <si>
    <t>MAIPU</t>
  </si>
  <si>
    <t>AUBA7</t>
  </si>
  <si>
    <t>-36.846627</t>
  </si>
  <si>
    <t>-57.866678</t>
  </si>
  <si>
    <t>RUTA 2</t>
  </si>
  <si>
    <t>MALVINAS</t>
  </si>
  <si>
    <t>OEST13</t>
  </si>
  <si>
    <t>-34.602338</t>
  </si>
  <si>
    <t>-58.900927</t>
  </si>
  <si>
    <t>MAR CHIQUITA</t>
  </si>
  <si>
    <t>AUBA9</t>
  </si>
  <si>
    <t>-37.733697</t>
  </si>
  <si>
    <t>-57.445834</t>
  </si>
  <si>
    <t>MARQUEZ</t>
  </si>
  <si>
    <t>AUSO4</t>
  </si>
  <si>
    <t>-34.498383</t>
  </si>
  <si>
    <t>-58.550959</t>
  </si>
  <si>
    <t>MARTIN FIERRO</t>
  </si>
  <si>
    <t>CEAM5</t>
  </si>
  <si>
    <t>-34.609318</t>
  </si>
  <si>
    <t>-58.714545</t>
  </si>
  <si>
    <t>OEST3</t>
  </si>
  <si>
    <t>-34.628853</t>
  </si>
  <si>
    <t>-58.692604</t>
  </si>
  <si>
    <t>MONTE GRANDE</t>
  </si>
  <si>
    <t>AUSU4</t>
  </si>
  <si>
    <t>-34.832063</t>
  </si>
  <si>
    <t>-58.508589</t>
  </si>
  <si>
    <t>OLIVERA - RUTA 5 KM. 86</t>
  </si>
  <si>
    <t>CCAG1</t>
  </si>
  <si>
    <t>-34.644989</t>
  </si>
  <si>
    <t>-59.294312</t>
  </si>
  <si>
    <t>RUTA 5 KM. 86</t>
  </si>
  <si>
    <t>ILLIA II</t>
  </si>
  <si>
    <t>-34.619417</t>
  </si>
  <si>
    <t>-58.365939</t>
  </si>
  <si>
    <t>PASEO DEL BAJO</t>
  </si>
  <si>
    <t>PIEDRITAS - RUTA 14 KM 363</t>
  </si>
  <si>
    <t>CDRU4</t>
  </si>
  <si>
    <t>-30.455707</t>
  </si>
  <si>
    <t>-57.985022</t>
  </si>
  <si>
    <t>RUTA 14 KM 363</t>
  </si>
  <si>
    <t>PILAR</t>
  </si>
  <si>
    <t>AUSO2</t>
  </si>
  <si>
    <t>Tortuguitas, Buenos Aires</t>
  </si>
  <si>
    <t>-34.4617216</t>
  </si>
  <si>
    <t>-58.7069456</t>
  </si>
  <si>
    <t>RUTA 8</t>
  </si>
  <si>
    <t>POSADAS</t>
  </si>
  <si>
    <t>OEST10</t>
  </si>
  <si>
    <t>-34.631181</t>
  </si>
  <si>
    <t>-58.571714</t>
  </si>
  <si>
    <t>AVELLANEDA</t>
  </si>
  <si>
    <t>AUSA2</t>
  </si>
  <si>
    <t>-34.647925</t>
  </si>
  <si>
    <t>-58.477868</t>
  </si>
  <si>
    <t>AUTOPISTA PERITO MORENO</t>
  </si>
  <si>
    <t>QUILMES</t>
  </si>
  <si>
    <t>AUBA4</t>
  </si>
  <si>
    <t>-34.716444</t>
  </si>
  <si>
    <t>-58.236800</t>
  </si>
  <si>
    <t>QUINTANA</t>
  </si>
  <si>
    <t>OEST17</t>
  </si>
  <si>
    <t>-34.629135</t>
  </si>
  <si>
    <t>-58.713329</t>
  </si>
  <si>
    <t>REPUBLICA</t>
  </si>
  <si>
    <t>OEST11</t>
  </si>
  <si>
    <t>-34.629607</t>
  </si>
  <si>
    <t>-58.556744</t>
  </si>
  <si>
    <t>ILLIA</t>
  </si>
  <si>
    <t>AUSA4</t>
  </si>
  <si>
    <t>-34.575207</t>
  </si>
  <si>
    <t>-58.392979</t>
  </si>
  <si>
    <t>AUTOPISTA ILLIA</t>
  </si>
  <si>
    <t>RETIRO II</t>
  </si>
  <si>
    <t>AUSA3</t>
  </si>
  <si>
    <t>-34.573330</t>
  </si>
  <si>
    <t>-58.395960</t>
  </si>
  <si>
    <t xml:space="preserve">COLECTORA AUTOPISTA ILLIA </t>
  </si>
  <si>
    <t>RICCHIERI</t>
  </si>
  <si>
    <t>AUSU1</t>
  </si>
  <si>
    <t>-34.699047</t>
  </si>
  <si>
    <t>-58.495904</t>
  </si>
  <si>
    <t>AUTOPISTA RICCHIERI</t>
  </si>
  <si>
    <t>Ruta 19</t>
  </si>
  <si>
    <t>SIER3</t>
  </si>
  <si>
    <t>-31.327860</t>
  </si>
  <si>
    <t>-63.874952</t>
  </si>
  <si>
    <t>RUTA 19 KM 51,7</t>
  </si>
  <si>
    <t>RUTA 197</t>
  </si>
  <si>
    <t>AUSO11</t>
  </si>
  <si>
    <t>-34.477241</t>
  </si>
  <si>
    <t>-58.656727</t>
  </si>
  <si>
    <t>Ruta 20</t>
  </si>
  <si>
    <t>SIER7</t>
  </si>
  <si>
    <t>-31.436599</t>
  </si>
  <si>
    <t>-64.312363</t>
  </si>
  <si>
    <t>Ruta 20 Km 14.6</t>
  </si>
  <si>
    <t>RUTA 201 ASCENDENTE</t>
  </si>
  <si>
    <t>CEAM4</t>
  </si>
  <si>
    <t>-34.569027</t>
  </si>
  <si>
    <t>-58.655770</t>
  </si>
  <si>
    <t>RUTA 201 DESCENDENTE</t>
  </si>
  <si>
    <t>CEAM3</t>
  </si>
  <si>
    <t>-34.568508</t>
  </si>
  <si>
    <t>-58.649288</t>
  </si>
  <si>
    <t>RUTA 202</t>
  </si>
  <si>
    <t>AUSO9</t>
  </si>
  <si>
    <t>-34.486052</t>
  </si>
  <si>
    <t>-58.609632</t>
  </si>
  <si>
    <t>Ruta 36</t>
  </si>
  <si>
    <t>SIER10</t>
  </si>
  <si>
    <t>-31.519742</t>
  </si>
  <si>
    <t>-64.228931</t>
  </si>
  <si>
    <t>Ruta 36 Km 800</t>
  </si>
  <si>
    <t>Ruta 36 Arroyo Tegua</t>
  </si>
  <si>
    <t>SIER8</t>
  </si>
  <si>
    <t>-32.699011</t>
  </si>
  <si>
    <t>-64.350693</t>
  </si>
  <si>
    <t>Ruta 36 Km. 650</t>
  </si>
  <si>
    <t>Ruta 36 Piedras Moras</t>
  </si>
  <si>
    <t>SIER9</t>
  </si>
  <si>
    <t>-32.132007</t>
  </si>
  <si>
    <t>-64.293573</t>
  </si>
  <si>
    <t>Ruta 36 Km. 724.5</t>
  </si>
  <si>
    <t>Ruta 5</t>
  </si>
  <si>
    <t>SIER11</t>
  </si>
  <si>
    <t>-31.540495</t>
  </si>
  <si>
    <t>-64.304901</t>
  </si>
  <si>
    <t>Ruta 5 Km 11.5</t>
  </si>
  <si>
    <t>RUTA 8 ASCENDENTE</t>
  </si>
  <si>
    <t>CEAM7</t>
  </si>
  <si>
    <t>-34.564408</t>
  </si>
  <si>
    <t>-58.631444</t>
  </si>
  <si>
    <t>RUTA 8 DESCENDIENTE</t>
  </si>
  <si>
    <t>CEAM6</t>
  </si>
  <si>
    <t>-34.560189</t>
  </si>
  <si>
    <t>-58.627886</t>
  </si>
  <si>
    <t>Ruta 9 Nort</t>
  </si>
  <si>
    <t>SIER4</t>
  </si>
  <si>
    <t>-31.190828</t>
  </si>
  <si>
    <t>-64.153010</t>
  </si>
  <si>
    <t>Ruta 9 Km. 729</t>
  </si>
  <si>
    <t>Ruta 9 Sur</t>
  </si>
  <si>
    <t>SIER2</t>
  </si>
  <si>
    <t>-31.569359</t>
  </si>
  <si>
    <t>-63.995326</t>
  </si>
  <si>
    <t>RUTA 9 KM 677</t>
  </si>
  <si>
    <t>Ruta E53</t>
  </si>
  <si>
    <t>SIER5</t>
  </si>
  <si>
    <t>-31.312756</t>
  </si>
  <si>
    <t>-64.218684</t>
  </si>
  <si>
    <t>Ruta E53 Km. 5</t>
  </si>
  <si>
    <t>Ruta E55</t>
  </si>
  <si>
    <t>SIER6</t>
  </si>
  <si>
    <t>-31.370082</t>
  </si>
  <si>
    <t>-64.299618</t>
  </si>
  <si>
    <t>Ruta E55 Km. 4</t>
  </si>
  <si>
    <t>SALGUERO</t>
  </si>
  <si>
    <t>AUSA5</t>
  </si>
  <si>
    <t>-34.571068</t>
  </si>
  <si>
    <t>-58.401136</t>
  </si>
  <si>
    <t>SAMBOROMBON</t>
  </si>
  <si>
    <t>AUBA6</t>
  </si>
  <si>
    <t>-35.307614</t>
  </si>
  <si>
    <t>-58.053579</t>
  </si>
  <si>
    <t>SAMPACHO - RUTA 8 KM 655</t>
  </si>
  <si>
    <t>SAMP1</t>
  </si>
  <si>
    <t>-33.424251</t>
  </si>
  <si>
    <t>-64.775577</t>
  </si>
  <si>
    <t>RUTA 8 KM 655</t>
  </si>
  <si>
    <t>SAN FERNANDO</t>
  </si>
  <si>
    <t>OEST15</t>
  </si>
  <si>
    <t>-34.596287</t>
  </si>
  <si>
    <t>-58.935417</t>
  </si>
  <si>
    <t>SAN MARTIN</t>
  </si>
  <si>
    <t>AUSO6</t>
  </si>
  <si>
    <t>-34.491124</t>
  </si>
  <si>
    <t>-58.566103</t>
  </si>
  <si>
    <t>SAN VICENTE - RUTA 34 KM 160</t>
  </si>
  <si>
    <t>CCEN1</t>
  </si>
  <si>
    <t>-31.792116</t>
  </si>
  <si>
    <t>-61.567139</t>
  </si>
  <si>
    <t>SANTA ROSA</t>
  </si>
  <si>
    <t>OEST8</t>
  </si>
  <si>
    <t>-34.631462</t>
  </si>
  <si>
    <t>-58.652266</t>
  </si>
  <si>
    <t>SARMIENTO</t>
  </si>
  <si>
    <t>AUSA6</t>
  </si>
  <si>
    <t>-34.567121</t>
  </si>
  <si>
    <t>-58.406271</t>
  </si>
  <si>
    <t>SOLIS - RUTA 8 KM 102</t>
  </si>
  <si>
    <t>SOLI1</t>
  </si>
  <si>
    <t>-34.284547</t>
  </si>
  <si>
    <t>-59.363566</t>
  </si>
  <si>
    <t>RUTA 8 KM 102</t>
  </si>
  <si>
    <t>TIGRE</t>
  </si>
  <si>
    <t>AUSO5</t>
  </si>
  <si>
    <t>-34.4862899</t>
  </si>
  <si>
    <t>-58.5601146</t>
  </si>
  <si>
    <t>RAMAL TIGRE</t>
  </si>
  <si>
    <t>TRENQUE LAUQUEN - RUTA 5 KM 429</t>
  </si>
  <si>
    <t>CCAG3</t>
  </si>
  <si>
    <t>-35.918150</t>
  </si>
  <si>
    <t>-62.556148</t>
  </si>
  <si>
    <t>RUTA 5 KM 429</t>
  </si>
  <si>
    <t>TRISTAN SUAREZ</t>
  </si>
  <si>
    <t>AUSU6</t>
  </si>
  <si>
    <t>-34.853980</t>
  </si>
  <si>
    <t>-58.551552</t>
  </si>
  <si>
    <t>TUNEL SUBFLUVIAL - ENTRE RIOS</t>
  </si>
  <si>
    <t>TUNEL SUBFLUVIAL</t>
  </si>
  <si>
    <t>TUNE1</t>
  </si>
  <si>
    <t>-31.716609</t>
  </si>
  <si>
    <t>-60.502295</t>
  </si>
  <si>
    <t>RUTA 168</t>
  </si>
  <si>
    <t>TUNEL SUBFLUVIAL - SANTA FE</t>
  </si>
  <si>
    <t>TUNE2</t>
  </si>
  <si>
    <t>-31.687450</t>
  </si>
  <si>
    <t>-60.512139</t>
  </si>
  <si>
    <t>URIBELARREA - RUTA 205 KM. 83</t>
  </si>
  <si>
    <t>AUSUT8</t>
  </si>
  <si>
    <t>-35.097140</t>
  </si>
  <si>
    <t>-58.931513</t>
  </si>
  <si>
    <t>RUTA 205</t>
  </si>
  <si>
    <t>V. TUERTO (RN8) - RUTA 8 KM 381</t>
  </si>
  <si>
    <t>VETU1</t>
  </si>
  <si>
    <t>-33.691188</t>
  </si>
  <si>
    <t>-62.097299</t>
  </si>
  <si>
    <t>RUTA 8 KM 381</t>
  </si>
  <si>
    <t>TANDIL (VASCONIA) - RUTA 226 KM. 153</t>
  </si>
  <si>
    <t>VASC1</t>
  </si>
  <si>
    <t>-37.373016</t>
  </si>
  <si>
    <t>-59.008037</t>
  </si>
  <si>
    <t>RUTA 226 KM 153</t>
  </si>
  <si>
    <t>VERGARA</t>
  </si>
  <si>
    <t>OEST4</t>
  </si>
  <si>
    <t>-34.632751</t>
  </si>
  <si>
    <t>-58.624854</t>
  </si>
  <si>
    <t>VICUÑA MACKENNA - RUTA 7 KM 592</t>
  </si>
  <si>
    <t>VICU1</t>
  </si>
  <si>
    <t>-33.929732</t>
  </si>
  <si>
    <t>-64.452031</t>
  </si>
  <si>
    <t>RUTA 7 KM 592</t>
  </si>
  <si>
    <t>VILLA ESPIL - RUTA 7 KM. 88</t>
  </si>
  <si>
    <t>VILL1</t>
  </si>
  <si>
    <t>-34.519862</t>
  </si>
  <si>
    <t>-59.308842</t>
  </si>
  <si>
    <t>RUTA 7 KM. 88</t>
  </si>
  <si>
    <t>YERUA - RUTA 14 KM 242</t>
  </si>
  <si>
    <t>CDRU3</t>
  </si>
  <si>
    <t>-31.507620</t>
  </si>
  <si>
    <t>-58.183975</t>
  </si>
  <si>
    <t>RUTA 14 KM 242</t>
  </si>
  <si>
    <t>ZARATE - RUTA 12 KM 85</t>
  </si>
  <si>
    <t>CDRU2</t>
  </si>
  <si>
    <t>-34.118089</t>
  </si>
  <si>
    <t>-59.011256</t>
  </si>
  <si>
    <t>RUTA 12 KM 85</t>
  </si>
  <si>
    <t>ZARATE - RUTA 9 KM. 95</t>
  </si>
  <si>
    <t>ZARA2</t>
  </si>
  <si>
    <t>-34.101223</t>
  </si>
  <si>
    <t>-59.150349</t>
  </si>
  <si>
    <t>RUTA 9 KM. 95</t>
  </si>
  <si>
    <t>DESAGUADERO</t>
  </si>
  <si>
    <t>ENTE DE CONTROL DE RUTAS</t>
  </si>
  <si>
    <t>ECDR1</t>
  </si>
  <si>
    <t>-33.411719</t>
  </si>
  <si>
    <t>-67.123489</t>
  </si>
  <si>
    <t xml:space="preserve">RUTA 7 </t>
  </si>
  <si>
    <t>ANCHORENA</t>
  </si>
  <si>
    <t>ECDR2</t>
  </si>
  <si>
    <t>BUENA ESPERANZA</t>
  </si>
  <si>
    <t>ECDR3</t>
  </si>
  <si>
    <t>CRUZ DE PIEDRA</t>
  </si>
  <si>
    <t>ECDR4</t>
  </si>
  <si>
    <t>CUATRO ESQUINAS</t>
  </si>
  <si>
    <t>ECDR5</t>
  </si>
  <si>
    <t>EL PORTEZUELO</t>
  </si>
  <si>
    <t>ECDR6</t>
  </si>
  <si>
    <t>JUSTO DARACK</t>
  </si>
  <si>
    <t>ECDR7</t>
  </si>
  <si>
    <t>-33.852119</t>
  </si>
  <si>
    <t>-65.150784</t>
  </si>
  <si>
    <t>RUTA 7</t>
  </si>
  <si>
    <t>LA CUMBRE</t>
  </si>
  <si>
    <t>ECDR8</t>
  </si>
  <si>
    <t>-33.359087</t>
  </si>
  <si>
    <t>-66.067072</t>
  </si>
  <si>
    <t>LA PUNILLA</t>
  </si>
  <si>
    <t>ECDR9</t>
  </si>
  <si>
    <t>LA TOMA</t>
  </si>
  <si>
    <t>ECDR10</t>
  </si>
  <si>
    <t>LOS PUQUIOS</t>
  </si>
  <si>
    <t>ECDR11</t>
  </si>
  <si>
    <t>RIO QUINTO</t>
  </si>
  <si>
    <t>ECDR12</t>
  </si>
  <si>
    <t>ECDR13</t>
  </si>
  <si>
    <t>VILLA MERCEDES</t>
  </si>
  <si>
    <t>ECDR14</t>
  </si>
  <si>
    <t>LA RIBERA</t>
  </si>
  <si>
    <t>UNIDAD EJECUTORA (SANTA FE)</t>
  </si>
  <si>
    <t>VSF1</t>
  </si>
  <si>
    <t>-32.636353</t>
  </si>
  <si>
    <t>-60.824491</t>
  </si>
  <si>
    <t>AU ROSARIO - SANTA FE</t>
  </si>
  <si>
    <t>ALDAO</t>
  </si>
  <si>
    <t>VSF2</t>
  </si>
  <si>
    <t>-32.699376</t>
  </si>
  <si>
    <t>-60.785528</t>
  </si>
  <si>
    <t>SANTO TOME</t>
  </si>
  <si>
    <t>VSF4</t>
  </si>
  <si>
    <t>-31.6676119</t>
  </si>
  <si>
    <t>-60.7957883</t>
  </si>
  <si>
    <t>SAN LORENZO SUR</t>
  </si>
  <si>
    <t>VF8</t>
  </si>
  <si>
    <t>-32.767121</t>
  </si>
  <si>
    <t>-60.747441</t>
  </si>
  <si>
    <t>Acceso San lorenzo SUR</t>
  </si>
  <si>
    <t>SAN LORENZO NORTE</t>
  </si>
  <si>
    <t>VF7</t>
  </si>
  <si>
    <t>-32.7250131</t>
  </si>
  <si>
    <t>-60.7630992</t>
  </si>
  <si>
    <t>Acceso San lorenzo NORTE</t>
  </si>
  <si>
    <t>SAN LORENZO CENTRO</t>
  </si>
  <si>
    <t>VSF5</t>
  </si>
  <si>
    <t>-32.7491021</t>
  </si>
  <si>
    <t>-60.7590877</t>
  </si>
  <si>
    <t>Acceso San lorenzo CENTRO</t>
  </si>
  <si>
    <t>ACCESO SAUCE VIEJO</t>
  </si>
  <si>
    <t>VSF6</t>
  </si>
  <si>
    <t>-31.691148</t>
  </si>
  <si>
    <t>-60.8106226</t>
  </si>
  <si>
    <t>ACCESO A SAUCE VIEJO</t>
  </si>
  <si>
    <t>TRONCAL SAUCE VIEJO</t>
  </si>
  <si>
    <t>VSF3</t>
  </si>
  <si>
    <t>-31.708643</t>
  </si>
  <si>
    <t>-60.825832</t>
  </si>
  <si>
    <t>JUNIN -  RUTA 188 KM 152</t>
  </si>
  <si>
    <t>CORREDOR DE INTEGRACION PAMPEANA</t>
  </si>
  <si>
    <t>CIP1</t>
  </si>
  <si>
    <t>-34.532227</t>
  </si>
  <si>
    <t>-60.901963</t>
  </si>
  <si>
    <t>RN 188 KM 152</t>
  </si>
  <si>
    <t>FERNANDEZ</t>
  </si>
  <si>
    <t>AUTOVIA BS. AS. A LOS ANDES</t>
  </si>
  <si>
    <t>ABA1</t>
  </si>
  <si>
    <t>-27.948172</t>
  </si>
  <si>
    <t>-63.846301</t>
  </si>
  <si>
    <t>RUTA 34</t>
  </si>
  <si>
    <t>LA FLORIDA</t>
  </si>
  <si>
    <t>ABA2</t>
  </si>
  <si>
    <t>-27.363540</t>
  </si>
  <si>
    <t>-64.957227</t>
  </si>
  <si>
    <t>MOLLE YACO</t>
  </si>
  <si>
    <t>ABA3</t>
  </si>
  <si>
    <t>-26.294743</t>
  </si>
  <si>
    <t>-65.280757</t>
  </si>
  <si>
    <t>CABEZA DE BUEY</t>
  </si>
  <si>
    <t>ABA4</t>
  </si>
  <si>
    <t>-24.814319</t>
  </si>
  <si>
    <t>-65.015881</t>
  </si>
  <si>
    <t>Pte. BELGRANO</t>
  </si>
  <si>
    <t>CAMINOS DEL PARANA</t>
  </si>
  <si>
    <t>CDP1</t>
  </si>
  <si>
    <t>-27.446236</t>
  </si>
  <si>
    <t>-58.887273</t>
  </si>
  <si>
    <t>RUTA 16 KM 5</t>
  </si>
  <si>
    <t>MAKALLÉ</t>
  </si>
  <si>
    <t>CDP2</t>
  </si>
  <si>
    <t>-27.186774</t>
  </si>
  <si>
    <t>-59.326305</t>
  </si>
  <si>
    <t>R16 KM 59,8</t>
  </si>
  <si>
    <t>RIACHUELO</t>
  </si>
  <si>
    <t>CDP3</t>
  </si>
  <si>
    <t>-27.621296</t>
  </si>
  <si>
    <t>-58.738332</t>
  </si>
  <si>
    <t>RUTA 12 KM 1014</t>
  </si>
  <si>
    <t>CDP4</t>
  </si>
  <si>
    <t>SANTA ANA</t>
  </si>
  <si>
    <t>CDP5</t>
  </si>
  <si>
    <t>Cnia. VICTORIA</t>
  </si>
  <si>
    <t>CDP6</t>
  </si>
  <si>
    <t>RUTA 18</t>
  </si>
  <si>
    <t>CORREDOR VIAL 4</t>
  </si>
  <si>
    <t>CV41</t>
  </si>
  <si>
    <t>-33.156382</t>
  </si>
  <si>
    <t>-60.720413</t>
  </si>
  <si>
    <t>FACHINAL</t>
  </si>
  <si>
    <t>COVINT CONCESIONARIO VIAL</t>
  </si>
  <si>
    <t>COVI1</t>
  </si>
  <si>
    <t>-27.644117</t>
  </si>
  <si>
    <t xml:space="preserve"> -55.815936</t>
  </si>
  <si>
    <t>RUTA 105</t>
  </si>
  <si>
    <t>TANCACHA</t>
  </si>
  <si>
    <t>ENTE INTERMUNICIPAL Y COMUNAL</t>
  </si>
  <si>
    <t>EIC1</t>
  </si>
  <si>
    <t>-32.219127</t>
  </si>
  <si>
    <t>-64.009692</t>
  </si>
  <si>
    <t>RUTA 6</t>
  </si>
  <si>
    <t>DAMALCIO VELEZ</t>
  </si>
  <si>
    <t>EIC2</t>
  </si>
  <si>
    <t>-32.582309</t>
  </si>
  <si>
    <t>-63.570484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</si>
</sst>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99999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49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wrapText="1"/>
    </xf>
    <xf numFmtId="49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left" wrapText="1"/>
    </xf>
    <xf numFmtId="4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49" fontId="0" fillId="2" borderId="0" xfId="0" applyNumberFormat="1" applyFont="1" applyFill="1" applyAlignment="1">
      <alignment horizontal="left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0" formatCode="@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0" formatCode="@"/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utopistas" displayName="autopistas" ref="A1:I149" totalsRowShown="0" dataDxfId="9">
  <autoFilter ref="A1:I149"/>
  <sortState ref="A2:H100">
    <sortCondition ref="A1:A100"/>
  </sortState>
  <tableColumns count="9">
    <tableColumn id="1" name="ZONA" dataDxfId="8"/>
    <tableColumn id="7" name="AUTOPISTA" dataDxfId="7"/>
    <tableColumn id="4" name="AUXILIAR" dataDxfId="6">
      <calculatedColumnFormula>CONCATENATE(autopistas[[#This Row],[ZONA]]," - ",autopistas[[#This Row],[AUTOPISTA]])</calculatedColumnFormula>
    </tableColumn>
    <tableColumn id="5" name="CODIGO" dataDxfId="5"/>
    <tableColumn id="2" name="DIRECCION" dataDxfId="4"/>
    <tableColumn id="9" name="LATITUD" dataDxfId="3"/>
    <tableColumn id="8" name="LONGITUD" dataDxfId="2"/>
    <tableColumn id="10" name="CAMINO" dataDxfId="1"/>
    <tableColumn id="3" name="ESTAC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9"/>
  <sheetViews>
    <sheetView tabSelected="1" workbookViewId="0">
      <selection sqref="A1:I149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2" t="s">
        <v>9</v>
      </c>
      <c r="B2" s="3" t="s">
        <v>10</v>
      </c>
      <c r="C2" s="3" t="str">
        <f>CONCATENATE(autopistas[[#This Row],[ZONA]]," - ",autopistas[[#This Row],[AUTOPISTA]])</f>
        <v>9 DE JULIO - RUTA 5 KM 244 - CORREDORES VIALES SA</v>
      </c>
      <c r="D2" s="4" t="s">
        <v>11</v>
      </c>
      <c r="E2" s="5" t="s">
        <v>12</v>
      </c>
      <c r="F2" s="4" t="s">
        <v>13</v>
      </c>
      <c r="G2" s="6" t="s">
        <v>14</v>
      </c>
      <c r="H2" s="7" t="s">
        <v>15</v>
      </c>
      <c r="I2" s="5"/>
    </row>
    <row r="3" spans="1:9" x14ac:dyDescent="0.25">
      <c r="A3" s="3" t="s">
        <v>16</v>
      </c>
      <c r="B3" s="3" t="s">
        <v>17</v>
      </c>
      <c r="C3" s="3" t="str">
        <f>CONCATENATE(autopistas[[#This Row],[ZONA]]," - ",autopistas[[#This Row],[AUTOPISTA]])</f>
        <v>Autopista Pilar-Cordoba - CAMINOS DE LAS SIERRAS</v>
      </c>
      <c r="D3" s="4" t="s">
        <v>18</v>
      </c>
      <c r="E3" s="5"/>
      <c r="F3" s="4" t="s">
        <v>19</v>
      </c>
      <c r="G3" s="6" t="s">
        <v>20</v>
      </c>
      <c r="H3" s="8" t="s">
        <v>21</v>
      </c>
      <c r="I3" s="5"/>
    </row>
    <row r="4" spans="1:9" x14ac:dyDescent="0.25">
      <c r="A4" s="2" t="s">
        <v>22</v>
      </c>
      <c r="B4" s="3" t="s">
        <v>23</v>
      </c>
      <c r="C4" s="3" t="str">
        <f>CONCATENATE(autopistas[[#This Row],[ZONA]]," - ",autopistas[[#This Row],[AUTOPISTA]])</f>
        <v>BARCALA - AUTOPISTA DEL OESTE</v>
      </c>
      <c r="D4" s="4" t="s">
        <v>24</v>
      </c>
      <c r="E4" s="5"/>
      <c r="F4" s="4" t="s">
        <v>25</v>
      </c>
      <c r="G4" s="6" t="s">
        <v>26</v>
      </c>
      <c r="H4" s="7" t="s">
        <v>27</v>
      </c>
      <c r="I4" s="5"/>
    </row>
    <row r="5" spans="1:9" x14ac:dyDescent="0.25">
      <c r="A5" s="2" t="s">
        <v>28</v>
      </c>
      <c r="B5" s="3" t="s">
        <v>29</v>
      </c>
      <c r="C5" s="9" t="str">
        <f>CONCATENATE(autopistas[[#This Row],[ZONA]]," - ",autopistas[[#This Row],[AUTOPISTA]])</f>
        <v>ALBERTI - AUSA</v>
      </c>
      <c r="D5" s="4" t="s">
        <v>30</v>
      </c>
      <c r="E5" s="5"/>
      <c r="F5" s="4" t="s">
        <v>31</v>
      </c>
      <c r="G5" s="6" t="s">
        <v>32</v>
      </c>
      <c r="H5" s="7" t="s">
        <v>33</v>
      </c>
      <c r="I5" s="5"/>
    </row>
    <row r="6" spans="1:9" x14ac:dyDescent="0.25">
      <c r="A6" s="2" t="s">
        <v>34</v>
      </c>
      <c r="B6" s="3" t="s">
        <v>35</v>
      </c>
      <c r="C6" s="3" t="str">
        <f>CONCATENATE(autopistas[[#This Row],[ZONA]]," - ",autopistas[[#This Row],[AUTOPISTA]])</f>
        <v>BELGRANO - AUSOL</v>
      </c>
      <c r="D6" s="5" t="s">
        <v>36</v>
      </c>
      <c r="E6" s="5"/>
      <c r="F6" s="4" t="s">
        <v>37</v>
      </c>
      <c r="G6" s="4" t="s">
        <v>38</v>
      </c>
      <c r="H6" s="5" t="s">
        <v>27</v>
      </c>
      <c r="I6" s="5"/>
    </row>
    <row r="7" spans="1:9" x14ac:dyDescent="0.25">
      <c r="A7" s="2" t="s">
        <v>39</v>
      </c>
      <c r="B7" s="3" t="s">
        <v>40</v>
      </c>
      <c r="C7" s="3" t="str">
        <f>CONCATENATE(autopistas[[#This Row],[ZONA]]," - ",autopistas[[#This Row],[AUTOPISTA]])</f>
        <v>BERAZATEGUI - AUBASA</v>
      </c>
      <c r="D7" s="4" t="s">
        <v>41</v>
      </c>
      <c r="E7" s="5"/>
      <c r="F7" s="4" t="s">
        <v>42</v>
      </c>
      <c r="G7" s="6" t="s">
        <v>43</v>
      </c>
      <c r="H7" s="7" t="s">
        <v>27</v>
      </c>
      <c r="I7" s="5"/>
    </row>
    <row r="8" spans="1:9" x14ac:dyDescent="0.25">
      <c r="A8" s="2" t="s">
        <v>44</v>
      </c>
      <c r="B8" s="3" t="s">
        <v>40</v>
      </c>
      <c r="C8" s="3" t="str">
        <f>CONCATENATE(autopistas[[#This Row],[ZONA]]," - ",autopistas[[#This Row],[AUTOPISTA]])</f>
        <v>BERNAL - AUBASA</v>
      </c>
      <c r="D8" s="4" t="s">
        <v>45</v>
      </c>
      <c r="E8" s="10"/>
      <c r="F8" s="4" t="s">
        <v>46</v>
      </c>
      <c r="G8" s="6" t="s">
        <v>47</v>
      </c>
      <c r="H8" s="7" t="s">
        <v>27</v>
      </c>
      <c r="I8" s="5"/>
    </row>
    <row r="9" spans="1:9" x14ac:dyDescent="0.25">
      <c r="A9" s="2" t="s">
        <v>48</v>
      </c>
      <c r="B9" s="3" t="s">
        <v>10</v>
      </c>
      <c r="C9" s="3" t="str">
        <f>CONCATENATE(autopistas[[#This Row],[ZONA]]," - ",autopistas[[#This Row],[AUTOPISTA]])</f>
        <v>BOULOGNE SUR ME - CORREDORES VIALES SA</v>
      </c>
      <c r="D9" s="4" t="s">
        <v>49</v>
      </c>
      <c r="E9" s="5"/>
      <c r="F9" s="4" t="s">
        <v>50</v>
      </c>
      <c r="G9" s="6" t="s">
        <v>51</v>
      </c>
      <c r="H9" s="7" t="s">
        <v>52</v>
      </c>
      <c r="I9" s="5"/>
    </row>
    <row r="10" spans="1:9" x14ac:dyDescent="0.25">
      <c r="A10" s="2" t="s">
        <v>53</v>
      </c>
      <c r="B10" s="3" t="s">
        <v>23</v>
      </c>
      <c r="C10" s="3" t="str">
        <f>CONCATENATE(autopistas[[#This Row],[ZONA]]," - ",autopistas[[#This Row],[AUTOPISTA]])</f>
        <v>BRANDSEN - AUTOPISTA DEL OESTE</v>
      </c>
      <c r="D10" s="4" t="s">
        <v>54</v>
      </c>
      <c r="E10" s="5"/>
      <c r="F10" s="6" t="s">
        <v>55</v>
      </c>
      <c r="G10" s="4" t="s">
        <v>56</v>
      </c>
      <c r="H10" s="7" t="s">
        <v>27</v>
      </c>
      <c r="I10" s="5"/>
    </row>
    <row r="11" spans="1:9" x14ac:dyDescent="0.25">
      <c r="A11" s="2" t="s">
        <v>57</v>
      </c>
      <c r="B11" s="3" t="s">
        <v>35</v>
      </c>
      <c r="C11" s="3" t="str">
        <f>CONCATENATE(autopistas[[#This Row],[ZONA]]," - ",autopistas[[#This Row],[AUTOPISTA]])</f>
        <v>BUEN AYRE - AUSOL</v>
      </c>
      <c r="D11" s="5" t="s">
        <v>58</v>
      </c>
      <c r="E11" s="11"/>
      <c r="F11" s="4" t="s">
        <v>59</v>
      </c>
      <c r="G11" s="4" t="s">
        <v>60</v>
      </c>
      <c r="H11" s="5" t="s">
        <v>27</v>
      </c>
      <c r="I11" s="5"/>
    </row>
    <row r="12" spans="1:9" x14ac:dyDescent="0.25">
      <c r="A12" s="2" t="s">
        <v>57</v>
      </c>
      <c r="B12" s="3" t="s">
        <v>23</v>
      </c>
      <c r="C12" s="3" t="str">
        <f>CONCATENATE(autopistas[[#This Row],[ZONA]]," - ",autopistas[[#This Row],[AUTOPISTA]])</f>
        <v>BUEN AYRE - AUTOPISTA DEL OESTE</v>
      </c>
      <c r="D12" s="4" t="s">
        <v>61</v>
      </c>
      <c r="E12" s="5"/>
      <c r="F12" s="6" t="s">
        <v>62</v>
      </c>
      <c r="G12" s="4" t="s">
        <v>63</v>
      </c>
      <c r="H12" s="7" t="s">
        <v>27</v>
      </c>
      <c r="I12" s="5"/>
    </row>
    <row r="13" spans="1:9" x14ac:dyDescent="0.25">
      <c r="A13" s="2" t="s">
        <v>64</v>
      </c>
      <c r="B13" s="3" t="s">
        <v>65</v>
      </c>
      <c r="C13" s="3" t="str">
        <f>CONCATENATE(autopistas[[#This Row],[ZONA]]," - ",autopistas[[#This Row],[AUTOPISTA]])</f>
        <v>CABECERA NORTE - CEAMCE</v>
      </c>
      <c r="D13" s="4" t="s">
        <v>66</v>
      </c>
      <c r="E13" s="5"/>
      <c r="F13" s="4" t="s">
        <v>67</v>
      </c>
      <c r="G13" s="4" t="s">
        <v>68</v>
      </c>
      <c r="H13" s="5" t="s">
        <v>69</v>
      </c>
      <c r="I13" s="5"/>
    </row>
    <row r="14" spans="1:9" x14ac:dyDescent="0.25">
      <c r="A14" s="2" t="s">
        <v>70</v>
      </c>
      <c r="B14" s="3" t="s">
        <v>65</v>
      </c>
      <c r="C14" s="3" t="str">
        <f>CONCATENATE(autopistas[[#This Row],[ZONA]]," - ",autopistas[[#This Row],[AUTOPISTA]])</f>
        <v>CABECERA OESTE - CEAMCE</v>
      </c>
      <c r="D14" s="4" t="s">
        <v>71</v>
      </c>
      <c r="E14" s="5"/>
      <c r="F14" s="4" t="s">
        <v>72</v>
      </c>
      <c r="G14" s="4" t="s">
        <v>73</v>
      </c>
      <c r="H14" s="5" t="s">
        <v>69</v>
      </c>
      <c r="I14" s="5"/>
    </row>
    <row r="15" spans="1:9" x14ac:dyDescent="0.25">
      <c r="A15" s="2" t="s">
        <v>74</v>
      </c>
      <c r="B15" s="3" t="s">
        <v>35</v>
      </c>
      <c r="C15" s="3" t="str">
        <f>CONCATENATE(autopistas[[#This Row],[ZONA]]," - ",autopistas[[#This Row],[AUTOPISTA]])</f>
        <v>CAMINO REAL - AUSOL</v>
      </c>
      <c r="D15" s="5" t="s">
        <v>75</v>
      </c>
      <c r="E15" s="5"/>
      <c r="F15" s="4" t="s">
        <v>76</v>
      </c>
      <c r="G15" s="4" t="s">
        <v>77</v>
      </c>
      <c r="H15" s="5" t="s">
        <v>27</v>
      </c>
      <c r="I15" s="5"/>
    </row>
    <row r="16" spans="1:9" x14ac:dyDescent="0.25">
      <c r="A16" s="2" t="s">
        <v>78</v>
      </c>
      <c r="B16" s="3" t="s">
        <v>35</v>
      </c>
      <c r="C16" s="3" t="str">
        <f>CONCATENATE(autopistas[[#This Row],[ZONA]]," - ",autopistas[[#This Row],[AUTOPISTA]])</f>
        <v>CAMPANA - AUSOL</v>
      </c>
      <c r="D16" s="5" t="s">
        <v>79</v>
      </c>
      <c r="E16" s="5" t="s">
        <v>80</v>
      </c>
      <c r="F16" s="4" t="s">
        <v>81</v>
      </c>
      <c r="G16" s="4" t="s">
        <v>82</v>
      </c>
      <c r="H16" s="5" t="s">
        <v>83</v>
      </c>
      <c r="I16" s="5"/>
    </row>
    <row r="17" spans="1:9" x14ac:dyDescent="0.25">
      <c r="A17" s="2" t="s">
        <v>84</v>
      </c>
      <c r="B17" s="3" t="s">
        <v>10</v>
      </c>
      <c r="C17" s="3" t="str">
        <f>CONCATENATE(autopistas[[#This Row],[ZONA]]," - ",autopistas[[#This Row],[AUTOPISTA]])</f>
        <v>CAÑUELAS - RUTA 3 KM. 76 - CORREDORES VIALES SA</v>
      </c>
      <c r="D17" s="4" t="s">
        <v>85</v>
      </c>
      <c r="E17" s="5" t="s">
        <v>12</v>
      </c>
      <c r="F17" s="4" t="s">
        <v>86</v>
      </c>
      <c r="G17" s="6" t="s">
        <v>87</v>
      </c>
      <c r="H17" s="7" t="s">
        <v>88</v>
      </c>
      <c r="I17" s="5"/>
    </row>
    <row r="18" spans="1:9" x14ac:dyDescent="0.25">
      <c r="A18" s="2" t="s">
        <v>89</v>
      </c>
      <c r="B18" s="3" t="s">
        <v>10</v>
      </c>
      <c r="C18" s="3" t="str">
        <f>CONCATENATE(autopistas[[#This Row],[ZONA]]," - ",autopistas[[#This Row],[AUTOPISTA]])</f>
        <v>CARCARAÑA - AUTOVIA ROSARIO - CORDOBA KM. 356 - CORREDORES VIALES SA</v>
      </c>
      <c r="D18" s="4" t="s">
        <v>90</v>
      </c>
      <c r="E18" s="5" t="s">
        <v>12</v>
      </c>
      <c r="F18" s="4" t="s">
        <v>91</v>
      </c>
      <c r="G18" s="6" t="s">
        <v>92</v>
      </c>
      <c r="H18" s="7" t="s">
        <v>93</v>
      </c>
      <c r="I18" s="5"/>
    </row>
    <row r="19" spans="1:9" x14ac:dyDescent="0.25">
      <c r="A19" s="2" t="s">
        <v>94</v>
      </c>
      <c r="B19" s="3" t="s">
        <v>10</v>
      </c>
      <c r="C19" s="3" t="str">
        <f>CONCATENATE(autopistas[[#This Row],[ZONA]]," - ",autopistas[[#This Row],[AUTOPISTA]])</f>
        <v>CERES - RUTA 34 KM 378 - CORREDORES VIALES SA</v>
      </c>
      <c r="D19" s="4" t="s">
        <v>95</v>
      </c>
      <c r="E19" s="5" t="s">
        <v>12</v>
      </c>
      <c r="F19" s="4" t="s">
        <v>96</v>
      </c>
      <c r="G19" s="6" t="s">
        <v>97</v>
      </c>
      <c r="H19" s="7" t="s">
        <v>98</v>
      </c>
      <c r="I19" s="5"/>
    </row>
    <row r="20" spans="1:9" x14ac:dyDescent="0.25">
      <c r="A20" s="2" t="s">
        <v>99</v>
      </c>
      <c r="B20" s="3" t="s">
        <v>100</v>
      </c>
      <c r="C20" s="3" t="str">
        <f>CONCATENATE(autopistas[[#This Row],[ZONA]]," - ",autopistas[[#This Row],[AUTOPISTA]])</f>
        <v>COLONIA ELIA - RUTA 14 KM 100 - CAMINOS DEL RIO URUGUAY SA</v>
      </c>
      <c r="D20" s="4" t="s">
        <v>101</v>
      </c>
      <c r="E20" s="5" t="s">
        <v>12</v>
      </c>
      <c r="F20" s="4" t="s">
        <v>102</v>
      </c>
      <c r="G20" s="6" t="s">
        <v>103</v>
      </c>
      <c r="H20" s="5" t="s">
        <v>104</v>
      </c>
      <c r="I20" s="5"/>
    </row>
    <row r="21" spans="1:9" x14ac:dyDescent="0.25">
      <c r="A21" s="2" t="s">
        <v>105</v>
      </c>
      <c r="B21" s="3" t="s">
        <v>35</v>
      </c>
      <c r="C21" s="3" t="str">
        <f>CONCATENATE(autopistas[[#This Row],[ZONA]]," - ",autopistas[[#This Row],[AUTOPISTA]])</f>
        <v>DEBENEDETTI - AUSOL</v>
      </c>
      <c r="D21" s="5" t="s">
        <v>106</v>
      </c>
      <c r="E21" s="5"/>
      <c r="F21" s="4" t="s">
        <v>107</v>
      </c>
      <c r="G21" s="4" t="s">
        <v>108</v>
      </c>
      <c r="H21" s="5" t="s">
        <v>27</v>
      </c>
      <c r="I21" s="5"/>
    </row>
    <row r="22" spans="1:9" x14ac:dyDescent="0.25">
      <c r="A22" s="2" t="s">
        <v>109</v>
      </c>
      <c r="B22" s="3" t="s">
        <v>29</v>
      </c>
      <c r="C22" s="3" t="str">
        <f>CONCATENATE(autopistas[[#This Row],[ZONA]]," - ",autopistas[[#This Row],[AUTOPISTA]])</f>
        <v>DELLEPIANE I - AUSA</v>
      </c>
      <c r="D22" s="4" t="s">
        <v>110</v>
      </c>
      <c r="E22" s="5"/>
      <c r="F22" s="4" t="s">
        <v>111</v>
      </c>
      <c r="G22" s="6" t="s">
        <v>112</v>
      </c>
      <c r="H22" s="7" t="s">
        <v>113</v>
      </c>
      <c r="I22" s="5"/>
    </row>
    <row r="23" spans="1:9" x14ac:dyDescent="0.25">
      <c r="A23" s="2" t="s">
        <v>114</v>
      </c>
      <c r="B23" s="3" t="s">
        <v>29</v>
      </c>
      <c r="C23" s="3" t="str">
        <f>CONCATENATE(autopistas[[#This Row],[ZONA]]," - ",autopistas[[#This Row],[AUTOPISTA]])</f>
        <v>DELLEPIANE II - AUSA</v>
      </c>
      <c r="D23" s="4" t="s">
        <v>110</v>
      </c>
      <c r="E23" s="5"/>
      <c r="F23" s="4" t="s">
        <v>111</v>
      </c>
      <c r="G23" s="6" t="s">
        <v>112</v>
      </c>
      <c r="H23" s="7" t="s">
        <v>115</v>
      </c>
      <c r="I23" s="5"/>
    </row>
    <row r="24" spans="1:9" x14ac:dyDescent="0.25">
      <c r="A24" s="2" t="s">
        <v>116</v>
      </c>
      <c r="B24" s="3" t="s">
        <v>23</v>
      </c>
      <c r="C24" s="9" t="str">
        <f>CONCATENATE(autopistas[[#This Row],[ZONA]]," - ",autopistas[[#This Row],[AUTOPISTA]])</f>
        <v>DEL RODEO - AUTOPISTA DEL OESTE</v>
      </c>
      <c r="D24" s="4" t="s">
        <v>117</v>
      </c>
      <c r="E24" s="5"/>
      <c r="F24" s="4" t="s">
        <v>118</v>
      </c>
      <c r="G24" s="6" t="s">
        <v>119</v>
      </c>
      <c r="H24" s="7" t="s">
        <v>27</v>
      </c>
      <c r="I24" s="10"/>
    </row>
    <row r="25" spans="1:9" x14ac:dyDescent="0.25">
      <c r="A25" s="2" t="s">
        <v>120</v>
      </c>
      <c r="B25" s="3" t="s">
        <v>23</v>
      </c>
      <c r="C25" s="3" t="str">
        <f>CONCATENATE(autopistas[[#This Row],[ZONA]]," - ",autopistas[[#This Row],[AUTOPISTA]])</f>
        <v>DERQUI - AUTOPISTA DEL OESTE</v>
      </c>
      <c r="D25" s="4" t="s">
        <v>121</v>
      </c>
      <c r="E25" s="5"/>
      <c r="F25" s="4" t="s">
        <v>122</v>
      </c>
      <c r="G25" s="6" t="s">
        <v>123</v>
      </c>
      <c r="H25" s="7" t="s">
        <v>27</v>
      </c>
      <c r="I25" s="5"/>
    </row>
    <row r="26" spans="1:9" x14ac:dyDescent="0.25">
      <c r="A26" s="2" t="s">
        <v>124</v>
      </c>
      <c r="B26" s="3" t="s">
        <v>10</v>
      </c>
      <c r="C26" s="3" t="str">
        <f>CONCATENATE(autopistas[[#This Row],[ZONA]]," - ",autopistas[[#This Row],[AUTOPISTA]])</f>
        <v>DEVOTO - RUTA 19 KM 142 - CORREDORES VIALES SA</v>
      </c>
      <c r="D26" s="4" t="s">
        <v>125</v>
      </c>
      <c r="E26" s="5" t="s">
        <v>12</v>
      </c>
      <c r="F26" s="4" t="s">
        <v>126</v>
      </c>
      <c r="G26" s="6" t="s">
        <v>127</v>
      </c>
      <c r="H26" s="5" t="s">
        <v>128</v>
      </c>
      <c r="I26" s="5"/>
    </row>
    <row r="27" spans="1:9" x14ac:dyDescent="0.25">
      <c r="A27" s="2" t="s">
        <v>129</v>
      </c>
      <c r="B27" s="3" t="s">
        <v>40</v>
      </c>
      <c r="C27" s="3" t="str">
        <f>CONCATENATE(autopistas[[#This Row],[ZONA]]," - ",autopistas[[#This Row],[AUTOPISTA]])</f>
        <v>DOCK SUD - AUBASA</v>
      </c>
      <c r="D27" s="4" t="s">
        <v>130</v>
      </c>
      <c r="E27" s="5"/>
      <c r="F27" s="6" t="s">
        <v>131</v>
      </c>
      <c r="G27" s="6" t="s">
        <v>132</v>
      </c>
      <c r="H27" s="7" t="s">
        <v>133</v>
      </c>
      <c r="I27" s="5"/>
    </row>
    <row r="28" spans="1:9" x14ac:dyDescent="0.25">
      <c r="A28" s="2" t="s">
        <v>134</v>
      </c>
      <c r="B28" s="3" t="s">
        <v>23</v>
      </c>
      <c r="C28" s="3" t="str">
        <f>CONCATENATE(autopistas[[#This Row],[ZONA]]," - ",autopistas[[#This Row],[AUTOPISTA]])</f>
        <v>DOLORES PRATS - AUTOPISTA DEL OESTE</v>
      </c>
      <c r="D28" s="4" t="s">
        <v>135</v>
      </c>
      <c r="E28" s="5"/>
      <c r="F28" s="6" t="s">
        <v>136</v>
      </c>
      <c r="G28" s="6" t="s">
        <v>137</v>
      </c>
      <c r="H28" s="7" t="s">
        <v>27</v>
      </c>
      <c r="I28" s="5"/>
    </row>
    <row r="29" spans="1:9" x14ac:dyDescent="0.25">
      <c r="A29" s="2" t="s">
        <v>138</v>
      </c>
      <c r="B29" s="3" t="s">
        <v>10</v>
      </c>
      <c r="C29" s="3" t="str">
        <f>CONCATENATE(autopistas[[#This Row],[ZONA]]," - ",autopistas[[#This Row],[AUTOPISTA]])</f>
        <v>MERCADO CENTRAL - CORREDORES VIALES SA</v>
      </c>
      <c r="D29" s="4" t="s">
        <v>139</v>
      </c>
      <c r="E29" s="5"/>
      <c r="F29" s="4" t="s">
        <v>140</v>
      </c>
      <c r="G29" s="6" t="s">
        <v>141</v>
      </c>
      <c r="H29" s="7" t="s">
        <v>52</v>
      </c>
      <c r="I29" s="5"/>
    </row>
    <row r="30" spans="1:9" x14ac:dyDescent="0.25">
      <c r="A30" s="2" t="s">
        <v>142</v>
      </c>
      <c r="B30" s="3" t="s">
        <v>10</v>
      </c>
      <c r="C30" s="3" t="str">
        <f>CONCATENATE(autopistas[[#This Row],[ZONA]]," - ",autopistas[[#This Row],[AUTOPISTA]])</f>
        <v>DONOVAN - CORREDORES VIALES SA</v>
      </c>
      <c r="D30" s="4" t="s">
        <v>143</v>
      </c>
      <c r="E30" s="5"/>
      <c r="F30" s="4" t="s">
        <v>144</v>
      </c>
      <c r="G30" s="6" t="s">
        <v>145</v>
      </c>
      <c r="H30" s="7" t="s">
        <v>52</v>
      </c>
      <c r="I30" s="5"/>
    </row>
    <row r="31" spans="1:9" x14ac:dyDescent="0.25">
      <c r="A31" s="2" t="s">
        <v>146</v>
      </c>
      <c r="B31" s="3" t="s">
        <v>10</v>
      </c>
      <c r="C31" s="3" t="str">
        <f>CONCATENATE(autopistas[[#This Row],[ZONA]]," - ",autopistas[[#This Row],[AUTOPISTA]])</f>
        <v>EL DORADO - RUTA 226 KM. 31 - CORREDORES VIALES SA</v>
      </c>
      <c r="D31" s="4" t="s">
        <v>147</v>
      </c>
      <c r="E31" s="5" t="s">
        <v>12</v>
      </c>
      <c r="F31" s="4" t="s">
        <v>148</v>
      </c>
      <c r="G31" s="4" t="s">
        <v>149</v>
      </c>
      <c r="H31" s="7" t="s">
        <v>150</v>
      </c>
      <c r="I31" s="5"/>
    </row>
    <row r="32" spans="1:9" x14ac:dyDescent="0.25">
      <c r="A32" s="2" t="s">
        <v>151</v>
      </c>
      <c r="B32" s="3" t="s">
        <v>10</v>
      </c>
      <c r="C32" s="3" t="str">
        <f>CONCATENATE(autopistas[[#This Row],[ZONA]]," - ",autopistas[[#This Row],[AUTOPISTA]])</f>
        <v>EZEIZA - CORREDORES VIALES SA</v>
      </c>
      <c r="D32" s="4" t="s">
        <v>152</v>
      </c>
      <c r="E32" s="5"/>
      <c r="F32" s="4" t="s">
        <v>153</v>
      </c>
      <c r="G32" s="6" t="s">
        <v>154</v>
      </c>
      <c r="H32" s="7" t="s">
        <v>155</v>
      </c>
      <c r="I32" s="5"/>
    </row>
    <row r="33" spans="1:9" x14ac:dyDescent="0.25">
      <c r="A33" s="2" t="s">
        <v>156</v>
      </c>
      <c r="B33" s="3" t="s">
        <v>10</v>
      </c>
      <c r="C33" s="3" t="str">
        <f>CONCATENATE(autopistas[[#This Row],[ZONA]]," - ",autopistas[[#This Row],[AUTOPISTA]])</f>
        <v>FRANCK - RUTA 19 KM 20 - CORREDORES VIALES SA</v>
      </c>
      <c r="D33" s="4" t="s">
        <v>157</v>
      </c>
      <c r="E33" s="5" t="s">
        <v>12</v>
      </c>
      <c r="F33" s="4" t="s">
        <v>158</v>
      </c>
      <c r="G33" s="12" t="s">
        <v>159</v>
      </c>
      <c r="H33" s="5" t="s">
        <v>160</v>
      </c>
      <c r="I33" s="5"/>
    </row>
    <row r="34" spans="1:9" x14ac:dyDescent="0.25">
      <c r="A34" s="2" t="s">
        <v>161</v>
      </c>
      <c r="B34" s="3" t="s">
        <v>40</v>
      </c>
      <c r="C34" s="3" t="str">
        <f>CONCATENATE(autopistas[[#This Row],[ZONA]]," - ",autopistas[[#This Row],[AUTOPISTA]])</f>
        <v>GUTIERREZ - AUBASA</v>
      </c>
      <c r="D34" s="4" t="s">
        <v>162</v>
      </c>
      <c r="E34" s="5"/>
      <c r="F34" s="4" t="s">
        <v>163</v>
      </c>
      <c r="G34" s="12" t="s">
        <v>164</v>
      </c>
      <c r="H34" s="5"/>
      <c r="I34" s="5"/>
    </row>
    <row r="35" spans="1:9" x14ac:dyDescent="0.25">
      <c r="A35" s="2" t="s">
        <v>165</v>
      </c>
      <c r="B35" s="3" t="s">
        <v>40</v>
      </c>
      <c r="C35" s="3" t="str">
        <f>CONCATENATE(autopistas[[#This Row],[ZONA]]," - ",autopistas[[#This Row],[AUTOPISTA]])</f>
        <v>GENERAL MADARIAGA - AUBASA</v>
      </c>
      <c r="D35" s="4" t="s">
        <v>166</v>
      </c>
      <c r="E35" s="5"/>
      <c r="F35" s="4" t="s">
        <v>167</v>
      </c>
      <c r="G35" s="6" t="s">
        <v>168</v>
      </c>
      <c r="H35" s="7" t="s">
        <v>169</v>
      </c>
      <c r="I35" s="5"/>
    </row>
    <row r="36" spans="1:9" x14ac:dyDescent="0.25">
      <c r="A36" s="2" t="s">
        <v>170</v>
      </c>
      <c r="B36" s="3" t="s">
        <v>65</v>
      </c>
      <c r="C36" s="3" t="str">
        <f>CONCATENATE(autopistas[[#This Row],[ZONA]]," - ",autopistas[[#This Row],[AUTOPISTA]])</f>
        <v>COMBATE DE PAVON - CEAMCE</v>
      </c>
      <c r="D36" s="4" t="s">
        <v>171</v>
      </c>
      <c r="E36" s="5"/>
      <c r="F36" s="4" t="s">
        <v>172</v>
      </c>
      <c r="G36" s="6" t="s">
        <v>173</v>
      </c>
      <c r="H36" s="7" t="s">
        <v>174</v>
      </c>
      <c r="I36" s="5"/>
    </row>
    <row r="37" spans="1:9" x14ac:dyDescent="0.25">
      <c r="A37" s="2" t="s">
        <v>105</v>
      </c>
      <c r="B37" s="3" t="s">
        <v>65</v>
      </c>
      <c r="C37" s="3" t="str">
        <f>CONCATENATE(autopistas[[#This Row],[ZONA]]," - ",autopistas[[#This Row],[AUTOPISTA]])</f>
        <v>DEBENEDETTI - CEAMCE</v>
      </c>
      <c r="D37" s="4" t="s">
        <v>175</v>
      </c>
      <c r="E37" s="5"/>
      <c r="F37" s="4" t="s">
        <v>176</v>
      </c>
      <c r="G37" s="6" t="s">
        <v>177</v>
      </c>
      <c r="H37" s="7" t="s">
        <v>178</v>
      </c>
      <c r="I37" s="5"/>
    </row>
    <row r="38" spans="1:9" x14ac:dyDescent="0.25">
      <c r="A38" s="2" t="s">
        <v>179</v>
      </c>
      <c r="B38" s="13" t="s">
        <v>65</v>
      </c>
      <c r="C38" s="3" t="str">
        <f>CONCATENATE(autopistas[[#This Row],[ZONA]]," - ",autopistas[[#This Row],[AUTOPISTA]])</f>
        <v>GORRITI ASCENDENTE - CEAMCE</v>
      </c>
      <c r="D38" s="4" t="s">
        <v>180</v>
      </c>
      <c r="E38" s="5"/>
      <c r="F38" s="6" t="s">
        <v>181</v>
      </c>
      <c r="G38" s="6" t="s">
        <v>182</v>
      </c>
      <c r="H38" s="7" t="s">
        <v>174</v>
      </c>
      <c r="I38" s="5"/>
    </row>
    <row r="39" spans="1:9" x14ac:dyDescent="0.25">
      <c r="A39" s="3" t="s">
        <v>183</v>
      </c>
      <c r="B39" s="13" t="s">
        <v>65</v>
      </c>
      <c r="C39" s="3" t="str">
        <f>CONCATENATE(autopistas[[#This Row],[ZONA]]," - ",autopistas[[#This Row],[AUTOPISTA]])</f>
        <v>GORRITI DESCENDENTE - CEAMCE</v>
      </c>
      <c r="D39" s="4" t="s">
        <v>184</v>
      </c>
      <c r="E39" s="7"/>
      <c r="F39" s="4" t="s">
        <v>185</v>
      </c>
      <c r="G39" s="4" t="s">
        <v>186</v>
      </c>
      <c r="H39" s="5" t="s">
        <v>178</v>
      </c>
      <c r="I39" s="5"/>
    </row>
    <row r="40" spans="1:9" x14ac:dyDescent="0.25">
      <c r="A40" s="2" t="s">
        <v>187</v>
      </c>
      <c r="B40" s="3" t="s">
        <v>23</v>
      </c>
      <c r="C40" s="3" t="str">
        <f>CONCATENATE(autopistas[[#This Row],[ZONA]]," - ",autopistas[[#This Row],[AUTOPISTA]])</f>
        <v>GRAL.RODRIGUEZ - AUTOPISTA DEL OESTE</v>
      </c>
      <c r="D40" s="4" t="s">
        <v>188</v>
      </c>
      <c r="E40" s="5"/>
      <c r="F40" s="4" t="s">
        <v>189</v>
      </c>
      <c r="G40" s="6" t="s">
        <v>190</v>
      </c>
      <c r="H40" s="7" t="s">
        <v>27</v>
      </c>
      <c r="I40" s="5"/>
    </row>
    <row r="41" spans="1:9" x14ac:dyDescent="0.25">
      <c r="A41" s="2" t="s">
        <v>191</v>
      </c>
      <c r="B41" s="3" t="s">
        <v>10</v>
      </c>
      <c r="C41" s="3" t="str">
        <f>CONCATENATE(autopistas[[#This Row],[ZONA]]," - ",autopistas[[#This Row],[AUTOPISTA]])</f>
        <v>HINOJO - RUTA 226 KM. 276 - CORREDORES VIALES SA</v>
      </c>
      <c r="D41" s="4" t="s">
        <v>192</v>
      </c>
      <c r="E41" s="5" t="s">
        <v>12</v>
      </c>
      <c r="F41" s="4" t="s">
        <v>193</v>
      </c>
      <c r="G41" s="4" t="s">
        <v>194</v>
      </c>
      <c r="H41" s="7" t="s">
        <v>195</v>
      </c>
      <c r="I41" s="5"/>
    </row>
    <row r="42" spans="1:9" x14ac:dyDescent="0.25">
      <c r="A42" s="2" t="s">
        <v>196</v>
      </c>
      <c r="B42" s="3" t="s">
        <v>40</v>
      </c>
      <c r="C42" s="3" t="str">
        <f>CONCATENATE(autopistas[[#This Row],[ZONA]]," - ",autopistas[[#This Row],[AUTOPISTA]])</f>
        <v>MADARIAGA - AUBASA</v>
      </c>
      <c r="D42" s="4" t="s">
        <v>197</v>
      </c>
      <c r="E42" s="5"/>
      <c r="F42" s="4" t="s">
        <v>167</v>
      </c>
      <c r="G42" s="6" t="s">
        <v>168</v>
      </c>
      <c r="H42" s="7" t="s">
        <v>169</v>
      </c>
      <c r="I42" s="5"/>
    </row>
    <row r="43" spans="1:9" x14ac:dyDescent="0.25">
      <c r="A43" s="2" t="s">
        <v>198</v>
      </c>
      <c r="B43" s="3" t="s">
        <v>40</v>
      </c>
      <c r="C43" s="3" t="str">
        <f>CONCATENATE(autopistas[[#This Row],[ZONA]]," - ",autopistas[[#This Row],[AUTOPISTA]])</f>
        <v>HUDSON - AUBASA</v>
      </c>
      <c r="D43" s="4" t="s">
        <v>199</v>
      </c>
      <c r="E43" s="5"/>
      <c r="F43" s="4" t="s">
        <v>200</v>
      </c>
      <c r="G43" s="6" t="s">
        <v>201</v>
      </c>
      <c r="H43" s="7" t="s">
        <v>133</v>
      </c>
      <c r="I43" s="10"/>
    </row>
    <row r="44" spans="1:9" x14ac:dyDescent="0.25">
      <c r="A44" s="2" t="s">
        <v>202</v>
      </c>
      <c r="B44" s="3" t="s">
        <v>100</v>
      </c>
      <c r="C44" s="3" t="str">
        <f>CONCATENATE(autopistas[[#This Row],[ZONA]]," - ",autopistas[[#This Row],[AUTOPISTA]])</f>
        <v>ISLA LA DESEADA - RUTA 174 KM 5,2 (Pte. Rosario-Victoria) - CAMINOS DEL RIO URUGUAY SA</v>
      </c>
      <c r="D44" s="4" t="s">
        <v>203</v>
      </c>
      <c r="E44" s="5" t="s">
        <v>12</v>
      </c>
      <c r="F44" s="14" t="s">
        <v>204</v>
      </c>
      <c r="G44" s="12" t="s">
        <v>205</v>
      </c>
      <c r="H44" s="7" t="s">
        <v>206</v>
      </c>
      <c r="I44" s="10"/>
    </row>
    <row r="45" spans="1:9" x14ac:dyDescent="0.25">
      <c r="A45" s="2" t="s">
        <v>207</v>
      </c>
      <c r="B45" s="3" t="s">
        <v>23</v>
      </c>
      <c r="C45" s="3" t="str">
        <f>CONCATENATE(autopistas[[#This Row],[ZONA]]," - ",autopistas[[#This Row],[AUTOPISTA]])</f>
        <v>ITUZAINGÓ - AUTOPISTA DEL OESTE</v>
      </c>
      <c r="D45" s="4" t="s">
        <v>208</v>
      </c>
      <c r="E45" s="5"/>
      <c r="F45" s="4" t="s">
        <v>209</v>
      </c>
      <c r="G45" s="4" t="s">
        <v>210</v>
      </c>
      <c r="H45" s="7" t="s">
        <v>211</v>
      </c>
      <c r="I45" s="7"/>
    </row>
    <row r="46" spans="1:9" x14ac:dyDescent="0.25">
      <c r="A46" s="2" t="s">
        <v>212</v>
      </c>
      <c r="B46" s="3" t="s">
        <v>10</v>
      </c>
      <c r="C46" s="3" t="str">
        <f>CONCATENATE(autopistas[[#This Row],[ZONA]]," - ",autopistas[[#This Row],[AUTOPISTA]])</f>
        <v>JAMES CRAIK - AUTOVIA ROSARIO - CORDOBA KM. 595 - CORREDORES VIALES SA</v>
      </c>
      <c r="D46" s="4" t="s">
        <v>213</v>
      </c>
      <c r="E46" s="5" t="s">
        <v>12</v>
      </c>
      <c r="F46" s="4" t="s">
        <v>214</v>
      </c>
      <c r="G46" s="6" t="s">
        <v>215</v>
      </c>
      <c r="H46" s="7" t="s">
        <v>216</v>
      </c>
      <c r="I46" s="5"/>
    </row>
    <row r="47" spans="1:9" x14ac:dyDescent="0.25">
      <c r="A47" s="2" t="s">
        <v>217</v>
      </c>
      <c r="B47" s="3" t="s">
        <v>10</v>
      </c>
      <c r="C47" s="3" t="str">
        <f>CONCATENATE(autopistas[[#This Row],[ZONA]]," - ",autopistas[[#This Row],[AUTOPISTA]])</f>
        <v>JUNIN (R7) - RUTA 7 KM. 272 - CORREDORES VIALES SA</v>
      </c>
      <c r="D47" s="4" t="s">
        <v>218</v>
      </c>
      <c r="E47" s="5" t="s">
        <v>12</v>
      </c>
      <c r="F47" s="4" t="s">
        <v>219</v>
      </c>
      <c r="G47" s="6" t="s">
        <v>220</v>
      </c>
      <c r="H47" s="5" t="s">
        <v>221</v>
      </c>
      <c r="I47" s="5"/>
    </row>
    <row r="48" spans="1:9" x14ac:dyDescent="0.25">
      <c r="A48" s="2" t="s">
        <v>222</v>
      </c>
      <c r="B48" s="3" t="s">
        <v>40</v>
      </c>
      <c r="C48" s="3" t="str">
        <f>CONCATENATE(autopistas[[#This Row],[ZONA]]," - ",autopistas[[#This Row],[AUTOPISTA]])</f>
        <v>LA HUELLA - AUBASA</v>
      </c>
      <c r="D48" s="4" t="s">
        <v>223</v>
      </c>
      <c r="E48" s="5"/>
      <c r="F48" s="4" t="s">
        <v>224</v>
      </c>
      <c r="G48" s="6" t="s">
        <v>225</v>
      </c>
      <c r="H48" s="7" t="s">
        <v>226</v>
      </c>
      <c r="I48" s="5"/>
    </row>
    <row r="49" spans="1:9" x14ac:dyDescent="0.25">
      <c r="A49" s="2" t="s">
        <v>227</v>
      </c>
      <c r="B49" s="3" t="s">
        <v>10</v>
      </c>
      <c r="C49" s="3" t="str">
        <f>CONCATENATE(autopistas[[#This Row],[ZONA]]," - ",autopistas[[#This Row],[AUTOPISTA]])</f>
        <v>LA PAZ - RUTA 7 KM 899 - CORREDORES VIALES SA</v>
      </c>
      <c r="D49" s="4" t="s">
        <v>228</v>
      </c>
      <c r="E49" s="5" t="s">
        <v>12</v>
      </c>
      <c r="F49" s="4" t="s">
        <v>229</v>
      </c>
      <c r="G49" s="6" t="s">
        <v>230</v>
      </c>
      <c r="H49" s="5" t="s">
        <v>231</v>
      </c>
      <c r="I49" s="5"/>
    </row>
    <row r="50" spans="1:9" x14ac:dyDescent="0.25">
      <c r="A50" s="2" t="s">
        <v>232</v>
      </c>
      <c r="B50" s="3" t="s">
        <v>10</v>
      </c>
      <c r="C50" s="3" t="str">
        <f>CONCATENATE(autopistas[[#This Row],[ZONA]]," - ",autopistas[[#This Row],[AUTOPISTA]])</f>
        <v>LAGOS - RUTA 9 KM. 272 - CORREDORES VIALES SA</v>
      </c>
      <c r="D50" s="4" t="s">
        <v>233</v>
      </c>
      <c r="E50" s="5" t="s">
        <v>12</v>
      </c>
      <c r="F50" s="4" t="s">
        <v>234</v>
      </c>
      <c r="G50" s="6" t="s">
        <v>235</v>
      </c>
      <c r="H50" s="7" t="s">
        <v>236</v>
      </c>
      <c r="I50" s="5"/>
    </row>
    <row r="51" spans="1:9" x14ac:dyDescent="0.25">
      <c r="A51" s="2" t="s">
        <v>237</v>
      </c>
      <c r="B51" s="3" t="s">
        <v>10</v>
      </c>
      <c r="C51" s="3" t="str">
        <f>CONCATENATE(autopistas[[#This Row],[ZONA]]," - ",autopistas[[#This Row],[AUTOPISTA]])</f>
        <v>LARENA - RUTA 8 KM 65 - CORREDORES VIALES SA</v>
      </c>
      <c r="D51" s="4" t="s">
        <v>238</v>
      </c>
      <c r="E51" s="5" t="s">
        <v>12</v>
      </c>
      <c r="F51" s="4" t="s">
        <v>239</v>
      </c>
      <c r="G51" s="6" t="s">
        <v>240</v>
      </c>
      <c r="H51" s="7" t="s">
        <v>241</v>
      </c>
      <c r="I51" s="5"/>
    </row>
    <row r="52" spans="1:9" x14ac:dyDescent="0.25">
      <c r="A52" s="2" t="s">
        <v>242</v>
      </c>
      <c r="B52" s="3" t="s">
        <v>23</v>
      </c>
      <c r="C52" s="3" t="str">
        <f>CONCATENATE(autopistas[[#This Row],[ZONA]]," - ",autopistas[[#This Row],[AUTOPISTA]])</f>
        <v>J.J.CASTRO - AUTOPISTA DEL OESTE</v>
      </c>
      <c r="D52" s="4" t="s">
        <v>243</v>
      </c>
      <c r="E52" s="5"/>
      <c r="F52" s="4" t="s">
        <v>244</v>
      </c>
      <c r="G52" s="6" t="s">
        <v>245</v>
      </c>
      <c r="H52" s="7" t="s">
        <v>27</v>
      </c>
      <c r="I52" s="5"/>
    </row>
    <row r="53" spans="1:9" x14ac:dyDescent="0.25">
      <c r="A53" s="2" t="s">
        <v>246</v>
      </c>
      <c r="B53" s="3" t="s">
        <v>23</v>
      </c>
      <c r="C53" s="3" t="str">
        <f>CONCATENATE(autopistas[[#This Row],[ZONA]]," - ",autopistas[[#This Row],[AUTOPISTA]])</f>
        <v>LUJAN - AUTOPISTA DEL OESTE</v>
      </c>
      <c r="D53" s="4" t="s">
        <v>247</v>
      </c>
      <c r="E53" s="5"/>
      <c r="F53" s="6" t="s">
        <v>248</v>
      </c>
      <c r="G53" s="6" t="s">
        <v>249</v>
      </c>
      <c r="H53" s="7" t="s">
        <v>211</v>
      </c>
      <c r="I53" s="5"/>
    </row>
    <row r="54" spans="1:9" x14ac:dyDescent="0.25">
      <c r="A54" s="2" t="s">
        <v>250</v>
      </c>
      <c r="B54" s="3" t="s">
        <v>40</v>
      </c>
      <c r="C54" s="3" t="str">
        <f>CONCATENATE(autopistas[[#This Row],[ZONA]]," - ",autopistas[[#This Row],[AUTOPISTA]])</f>
        <v>MAIPU - AUBASA</v>
      </c>
      <c r="D54" s="4" t="s">
        <v>251</v>
      </c>
      <c r="E54" s="5"/>
      <c r="F54" s="4" t="s">
        <v>252</v>
      </c>
      <c r="G54" s="6" t="s">
        <v>253</v>
      </c>
      <c r="H54" s="7" t="s">
        <v>254</v>
      </c>
      <c r="I54" s="5"/>
    </row>
    <row r="55" spans="1:9" x14ac:dyDescent="0.25">
      <c r="A55" s="2" t="s">
        <v>255</v>
      </c>
      <c r="B55" s="3" t="s">
        <v>23</v>
      </c>
      <c r="C55" s="3" t="str">
        <f>CONCATENATE(autopistas[[#This Row],[ZONA]]," - ",autopistas[[#This Row],[AUTOPISTA]])</f>
        <v>MALVINAS - AUTOPISTA DEL OESTE</v>
      </c>
      <c r="D55" s="4" t="s">
        <v>256</v>
      </c>
      <c r="E55" s="5"/>
      <c r="F55" s="6" t="s">
        <v>257</v>
      </c>
      <c r="G55" s="6" t="s">
        <v>258</v>
      </c>
      <c r="H55" s="7" t="s">
        <v>27</v>
      </c>
      <c r="I55" s="5"/>
    </row>
    <row r="56" spans="1:9" x14ac:dyDescent="0.25">
      <c r="A56" s="2" t="s">
        <v>259</v>
      </c>
      <c r="B56" s="3" t="s">
        <v>40</v>
      </c>
      <c r="C56" s="3" t="str">
        <f>CONCATENATE(autopistas[[#This Row],[ZONA]]," - ",autopistas[[#This Row],[AUTOPISTA]])</f>
        <v>MAR CHIQUITA - AUBASA</v>
      </c>
      <c r="D56" s="4" t="s">
        <v>260</v>
      </c>
      <c r="E56" s="5"/>
      <c r="F56" s="4" t="s">
        <v>261</v>
      </c>
      <c r="G56" s="6" t="s">
        <v>262</v>
      </c>
      <c r="H56" s="7" t="s">
        <v>226</v>
      </c>
      <c r="I56" s="5"/>
    </row>
    <row r="57" spans="1:9" x14ac:dyDescent="0.25">
      <c r="A57" s="2" t="s">
        <v>263</v>
      </c>
      <c r="B57" s="3" t="s">
        <v>35</v>
      </c>
      <c r="C57" s="3" t="str">
        <f>CONCATENATE(autopistas[[#This Row],[ZONA]]," - ",autopistas[[#This Row],[AUTOPISTA]])</f>
        <v>MARQUEZ - AUSOL</v>
      </c>
      <c r="D57" s="5" t="s">
        <v>264</v>
      </c>
      <c r="E57" s="5"/>
      <c r="F57" s="4" t="s">
        <v>265</v>
      </c>
      <c r="G57" s="4" t="s">
        <v>266</v>
      </c>
      <c r="H57" s="5" t="s">
        <v>27</v>
      </c>
      <c r="I57" s="5"/>
    </row>
    <row r="58" spans="1:9" x14ac:dyDescent="0.25">
      <c r="A58" s="2" t="s">
        <v>267</v>
      </c>
      <c r="B58" s="13" t="s">
        <v>65</v>
      </c>
      <c r="C58" s="3" t="str">
        <f>CONCATENATE(autopistas[[#This Row],[ZONA]]," - ",autopistas[[#This Row],[AUTOPISTA]])</f>
        <v>MARTIN FIERRO - CEAMCE</v>
      </c>
      <c r="D58" s="4" t="s">
        <v>268</v>
      </c>
      <c r="E58" s="15"/>
      <c r="F58" s="4" t="s">
        <v>269</v>
      </c>
      <c r="G58" s="4" t="s">
        <v>270</v>
      </c>
      <c r="H58" s="5" t="s">
        <v>174</v>
      </c>
      <c r="I58" s="5"/>
    </row>
    <row r="59" spans="1:9" x14ac:dyDescent="0.25">
      <c r="A59" s="2" t="s">
        <v>267</v>
      </c>
      <c r="B59" s="3" t="s">
        <v>23</v>
      </c>
      <c r="C59" s="3" t="str">
        <f>CONCATENATE(autopistas[[#This Row],[ZONA]]," - ",autopistas[[#This Row],[AUTOPISTA]])</f>
        <v>MARTIN FIERRO - AUTOPISTA DEL OESTE</v>
      </c>
      <c r="D59" s="4" t="s">
        <v>271</v>
      </c>
      <c r="E59" s="5"/>
      <c r="F59" s="6" t="s">
        <v>272</v>
      </c>
      <c r="G59" s="6" t="s">
        <v>273</v>
      </c>
      <c r="H59" s="7" t="s">
        <v>27</v>
      </c>
      <c r="I59" s="5"/>
    </row>
    <row r="60" spans="1:9" x14ac:dyDescent="0.25">
      <c r="A60" s="2" t="s">
        <v>274</v>
      </c>
      <c r="B60" s="3" t="s">
        <v>10</v>
      </c>
      <c r="C60" s="3" t="str">
        <f>CONCATENATE(autopistas[[#This Row],[ZONA]]," - ",autopistas[[#This Row],[AUTOPISTA]])</f>
        <v>MONTE GRANDE - CORREDORES VIALES SA</v>
      </c>
      <c r="D60" s="4" t="s">
        <v>275</v>
      </c>
      <c r="E60" s="5"/>
      <c r="F60" s="4" t="s">
        <v>276</v>
      </c>
      <c r="G60" s="6" t="s">
        <v>277</v>
      </c>
      <c r="H60" s="7" t="s">
        <v>155</v>
      </c>
      <c r="I60" s="5"/>
    </row>
    <row r="61" spans="1:9" x14ac:dyDescent="0.25">
      <c r="A61" s="2" t="s">
        <v>278</v>
      </c>
      <c r="B61" s="3" t="s">
        <v>10</v>
      </c>
      <c r="C61" s="3" t="str">
        <f>CONCATENATE(autopistas[[#This Row],[ZONA]]," - ",autopistas[[#This Row],[AUTOPISTA]])</f>
        <v>OLIVERA - RUTA 5 KM. 86 - CORREDORES VIALES SA</v>
      </c>
      <c r="D61" s="4" t="s">
        <v>279</v>
      </c>
      <c r="E61" s="5" t="s">
        <v>12</v>
      </c>
      <c r="F61" s="4" t="s">
        <v>280</v>
      </c>
      <c r="G61" s="6" t="s">
        <v>281</v>
      </c>
      <c r="H61" s="7" t="s">
        <v>282</v>
      </c>
      <c r="I61" s="5"/>
    </row>
    <row r="62" spans="1:9" x14ac:dyDescent="0.25">
      <c r="A62" s="2" t="s">
        <v>283</v>
      </c>
      <c r="B62" s="3" t="s">
        <v>29</v>
      </c>
      <c r="C62" s="9" t="str">
        <f>CONCATENATE(autopistas[[#This Row],[ZONA]]," - ",autopistas[[#This Row],[AUTOPISTA]])</f>
        <v>ILLIA II - AUSA</v>
      </c>
      <c r="D62" s="4" t="s">
        <v>30</v>
      </c>
      <c r="E62" s="5"/>
      <c r="F62" s="4" t="s">
        <v>284</v>
      </c>
      <c r="G62" s="6" t="s">
        <v>285</v>
      </c>
      <c r="H62" s="7" t="s">
        <v>286</v>
      </c>
      <c r="I62" s="10"/>
    </row>
    <row r="63" spans="1:9" x14ac:dyDescent="0.25">
      <c r="A63" s="2" t="s">
        <v>286</v>
      </c>
      <c r="B63" s="3" t="s">
        <v>29</v>
      </c>
      <c r="C63" s="9" t="str">
        <f>CONCATENATE(autopistas[[#This Row],[ZONA]]," - ",autopistas[[#This Row],[AUTOPISTA]])</f>
        <v>PASEO DEL BAJO - AUSA</v>
      </c>
      <c r="D63" s="4" t="s">
        <v>30</v>
      </c>
      <c r="E63" s="5"/>
      <c r="F63" s="4" t="s">
        <v>284</v>
      </c>
      <c r="G63" s="6" t="s">
        <v>285</v>
      </c>
      <c r="H63" s="7" t="s">
        <v>286</v>
      </c>
      <c r="I63" s="10"/>
    </row>
    <row r="64" spans="1:9" x14ac:dyDescent="0.25">
      <c r="A64" s="2" t="s">
        <v>287</v>
      </c>
      <c r="B64" s="3" t="s">
        <v>100</v>
      </c>
      <c r="C64" s="3" t="str">
        <f>CONCATENATE(autopistas[[#This Row],[ZONA]]," - ",autopistas[[#This Row],[AUTOPISTA]])</f>
        <v>PIEDRITAS - RUTA 14 KM 363 - CAMINOS DEL RIO URUGUAY SA</v>
      </c>
      <c r="D64" s="4" t="s">
        <v>288</v>
      </c>
      <c r="E64" s="5" t="s">
        <v>12</v>
      </c>
      <c r="F64" s="4" t="s">
        <v>289</v>
      </c>
      <c r="G64" s="4" t="s">
        <v>290</v>
      </c>
      <c r="H64" s="7" t="s">
        <v>291</v>
      </c>
      <c r="I64" s="5"/>
    </row>
    <row r="65" spans="1:9" x14ac:dyDescent="0.25">
      <c r="A65" s="2" t="s">
        <v>292</v>
      </c>
      <c r="B65" s="3" t="s">
        <v>35</v>
      </c>
      <c r="C65" s="3" t="str">
        <f>CONCATENATE(autopistas[[#This Row],[ZONA]]," - ",autopistas[[#This Row],[AUTOPISTA]])</f>
        <v>PILAR - AUSOL</v>
      </c>
      <c r="D65" s="5" t="s">
        <v>293</v>
      </c>
      <c r="E65" s="5" t="s">
        <v>294</v>
      </c>
      <c r="F65" s="4" t="s">
        <v>295</v>
      </c>
      <c r="G65" s="4" t="s">
        <v>296</v>
      </c>
      <c r="H65" s="5" t="s">
        <v>297</v>
      </c>
      <c r="I65" s="5"/>
    </row>
    <row r="66" spans="1:9" x14ac:dyDescent="0.25">
      <c r="A66" s="2" t="s">
        <v>298</v>
      </c>
      <c r="B66" s="3" t="s">
        <v>23</v>
      </c>
      <c r="C66" s="3" t="str">
        <f>CONCATENATE(autopistas[[#This Row],[ZONA]]," - ",autopistas[[#This Row],[AUTOPISTA]])</f>
        <v>POSADAS - AUTOPISTA DEL OESTE</v>
      </c>
      <c r="D66" s="4" t="s">
        <v>299</v>
      </c>
      <c r="E66" s="5"/>
      <c r="F66" s="4" t="s">
        <v>300</v>
      </c>
      <c r="G66" s="6" t="s">
        <v>301</v>
      </c>
      <c r="H66" s="7" t="s">
        <v>27</v>
      </c>
      <c r="I66" s="5"/>
    </row>
    <row r="67" spans="1:9" x14ac:dyDescent="0.25">
      <c r="A67" s="2" t="s">
        <v>302</v>
      </c>
      <c r="B67" s="3" t="s">
        <v>29</v>
      </c>
      <c r="C67" s="3" t="str">
        <f>CONCATENATE(autopistas[[#This Row],[ZONA]]," - ",autopistas[[#This Row],[AUTOPISTA]])</f>
        <v>AVELLANEDA - AUSA</v>
      </c>
      <c r="D67" s="4" t="s">
        <v>303</v>
      </c>
      <c r="E67" s="5"/>
      <c r="F67" s="4" t="s">
        <v>304</v>
      </c>
      <c r="G67" s="6" t="s">
        <v>305</v>
      </c>
      <c r="H67" s="7" t="s">
        <v>306</v>
      </c>
      <c r="I67" s="5"/>
    </row>
    <row r="68" spans="1:9" x14ac:dyDescent="0.25">
      <c r="A68" s="2" t="s">
        <v>307</v>
      </c>
      <c r="B68" s="3" t="s">
        <v>40</v>
      </c>
      <c r="C68" s="3" t="str">
        <f>CONCATENATE(autopistas[[#This Row],[ZONA]]," - ",autopistas[[#This Row],[AUTOPISTA]])</f>
        <v>QUILMES - AUBASA</v>
      </c>
      <c r="D68" s="4" t="s">
        <v>308</v>
      </c>
      <c r="E68" s="7"/>
      <c r="F68" s="4" t="s">
        <v>309</v>
      </c>
      <c r="G68" s="6" t="s">
        <v>310</v>
      </c>
      <c r="H68" s="7" t="s">
        <v>27</v>
      </c>
      <c r="I68" s="5"/>
    </row>
    <row r="69" spans="1:9" x14ac:dyDescent="0.25">
      <c r="A69" s="2" t="s">
        <v>311</v>
      </c>
      <c r="B69" s="3" t="s">
        <v>23</v>
      </c>
      <c r="C69" s="3" t="str">
        <f>CONCATENATE(autopistas[[#This Row],[ZONA]]," - ",autopistas[[#This Row],[AUTOPISTA]])</f>
        <v>QUINTANA - AUTOPISTA DEL OESTE</v>
      </c>
      <c r="D69" s="4" t="s">
        <v>312</v>
      </c>
      <c r="E69" s="7"/>
      <c r="F69" s="4" t="s">
        <v>313</v>
      </c>
      <c r="G69" s="6" t="s">
        <v>314</v>
      </c>
      <c r="H69" s="7" t="s">
        <v>27</v>
      </c>
      <c r="I69" s="5"/>
    </row>
    <row r="70" spans="1:9" x14ac:dyDescent="0.25">
      <c r="A70" s="2" t="s">
        <v>315</v>
      </c>
      <c r="B70" s="3" t="s">
        <v>23</v>
      </c>
      <c r="C70" s="3" t="str">
        <f>CONCATENATE(autopistas[[#This Row],[ZONA]]," - ",autopistas[[#This Row],[AUTOPISTA]])</f>
        <v>REPUBLICA - AUTOPISTA DEL OESTE</v>
      </c>
      <c r="D70" s="4" t="s">
        <v>316</v>
      </c>
      <c r="E70" s="5"/>
      <c r="F70" s="4" t="s">
        <v>317</v>
      </c>
      <c r="G70" s="6" t="s">
        <v>318</v>
      </c>
      <c r="H70" s="7" t="s">
        <v>27</v>
      </c>
      <c r="I70" s="5"/>
    </row>
    <row r="71" spans="1:9" x14ac:dyDescent="0.25">
      <c r="A71" s="2" t="s">
        <v>319</v>
      </c>
      <c r="B71" s="3" t="s">
        <v>29</v>
      </c>
      <c r="C71" s="3" t="str">
        <f>CONCATENATE(autopistas[[#This Row],[ZONA]]," - ",autopistas[[#This Row],[AUTOPISTA]])</f>
        <v>ILLIA - AUSA</v>
      </c>
      <c r="D71" s="4" t="s">
        <v>320</v>
      </c>
      <c r="E71" s="5"/>
      <c r="F71" s="4" t="s">
        <v>321</v>
      </c>
      <c r="G71" s="6" t="s">
        <v>322</v>
      </c>
      <c r="H71" s="7" t="s">
        <v>323</v>
      </c>
      <c r="I71" s="5"/>
    </row>
    <row r="72" spans="1:9" x14ac:dyDescent="0.25">
      <c r="A72" s="2" t="s">
        <v>324</v>
      </c>
      <c r="B72" s="3" t="s">
        <v>29</v>
      </c>
      <c r="C72" s="3" t="str">
        <f>CONCATENATE(autopistas[[#This Row],[ZONA]]," - ",autopistas[[#This Row],[AUTOPISTA]])</f>
        <v>RETIRO II - AUSA</v>
      </c>
      <c r="D72" s="4" t="s">
        <v>325</v>
      </c>
      <c r="E72" s="5"/>
      <c r="F72" s="4" t="s">
        <v>326</v>
      </c>
      <c r="G72" s="6" t="s">
        <v>327</v>
      </c>
      <c r="H72" s="7" t="s">
        <v>328</v>
      </c>
      <c r="I72" s="5"/>
    </row>
    <row r="73" spans="1:9" x14ac:dyDescent="0.25">
      <c r="A73" s="2" t="s">
        <v>329</v>
      </c>
      <c r="B73" s="3" t="s">
        <v>10</v>
      </c>
      <c r="C73" s="3" t="str">
        <f>CONCATENATE(autopistas[[#This Row],[ZONA]]," - ",autopistas[[#This Row],[AUTOPISTA]])</f>
        <v>RICCHIERI - CORREDORES VIALES SA</v>
      </c>
      <c r="D73" s="4" t="s">
        <v>330</v>
      </c>
      <c r="E73" s="5"/>
      <c r="F73" s="4" t="s">
        <v>331</v>
      </c>
      <c r="G73" s="6" t="s">
        <v>332</v>
      </c>
      <c r="H73" s="7" t="s">
        <v>333</v>
      </c>
      <c r="I73" s="5"/>
    </row>
    <row r="74" spans="1:9" x14ac:dyDescent="0.25">
      <c r="A74" s="3" t="s">
        <v>334</v>
      </c>
      <c r="B74" s="3" t="s">
        <v>17</v>
      </c>
      <c r="C74" s="3" t="str">
        <f>CONCATENATE(autopistas[[#This Row],[ZONA]]," - ",autopistas[[#This Row],[AUTOPISTA]])</f>
        <v>Ruta 19 - CAMINOS DE LAS SIERRAS</v>
      </c>
      <c r="D74" s="4" t="s">
        <v>335</v>
      </c>
      <c r="E74" s="5"/>
      <c r="F74" s="4" t="s">
        <v>336</v>
      </c>
      <c r="G74" s="6" t="s">
        <v>337</v>
      </c>
      <c r="H74" s="15" t="s">
        <v>338</v>
      </c>
      <c r="I74" s="5"/>
    </row>
    <row r="75" spans="1:9" x14ac:dyDescent="0.25">
      <c r="A75" s="2" t="s">
        <v>339</v>
      </c>
      <c r="B75" s="3" t="s">
        <v>35</v>
      </c>
      <c r="C75" s="3" t="str">
        <f>CONCATENATE(autopistas[[#This Row],[ZONA]]," - ",autopistas[[#This Row],[AUTOPISTA]])</f>
        <v>RUTA 197 - AUSOL</v>
      </c>
      <c r="D75" s="5" t="s">
        <v>340</v>
      </c>
      <c r="E75" s="5"/>
      <c r="F75" s="4" t="s">
        <v>341</v>
      </c>
      <c r="G75" s="4" t="s">
        <v>342</v>
      </c>
      <c r="H75" s="5" t="s">
        <v>27</v>
      </c>
      <c r="I75" s="5"/>
    </row>
    <row r="76" spans="1:9" x14ac:dyDescent="0.25">
      <c r="A76" s="2" t="s">
        <v>343</v>
      </c>
      <c r="B76" s="3" t="s">
        <v>17</v>
      </c>
      <c r="C76" s="3" t="str">
        <f>CONCATENATE(autopistas[[#This Row],[ZONA]]," - ",autopistas[[#This Row],[AUTOPISTA]])</f>
        <v>Ruta 20 - CAMINOS DE LAS SIERRAS</v>
      </c>
      <c r="D76" s="4" t="s">
        <v>344</v>
      </c>
      <c r="E76" s="5"/>
      <c r="F76" s="4" t="s">
        <v>345</v>
      </c>
      <c r="G76" s="6" t="s">
        <v>346</v>
      </c>
      <c r="H76" s="15" t="s">
        <v>347</v>
      </c>
      <c r="I76" s="5"/>
    </row>
    <row r="77" spans="1:9" x14ac:dyDescent="0.25">
      <c r="A77" s="2" t="s">
        <v>348</v>
      </c>
      <c r="B77" s="3" t="s">
        <v>65</v>
      </c>
      <c r="C77" s="3" t="str">
        <f>CONCATENATE(autopistas[[#This Row],[ZONA]]," - ",autopistas[[#This Row],[AUTOPISTA]])</f>
        <v>RUTA 201 ASCENDENTE - CEAMCE</v>
      </c>
      <c r="D77" s="4" t="s">
        <v>349</v>
      </c>
      <c r="E77" s="11"/>
      <c r="F77" s="4" t="s">
        <v>350</v>
      </c>
      <c r="G77" s="4" t="s">
        <v>351</v>
      </c>
      <c r="H77" s="5" t="s">
        <v>174</v>
      </c>
      <c r="I77" s="5"/>
    </row>
    <row r="78" spans="1:9" x14ac:dyDescent="0.25">
      <c r="A78" s="2" t="s">
        <v>352</v>
      </c>
      <c r="B78" s="3" t="s">
        <v>65</v>
      </c>
      <c r="C78" s="3" t="str">
        <f>CONCATENATE(autopistas[[#This Row],[ZONA]]," - ",autopistas[[#This Row],[AUTOPISTA]])</f>
        <v>RUTA 201 DESCENDENTE - CEAMCE</v>
      </c>
      <c r="D78" s="4" t="s">
        <v>353</v>
      </c>
      <c r="E78" s="11"/>
      <c r="F78" s="4" t="s">
        <v>354</v>
      </c>
      <c r="G78" s="4" t="s">
        <v>355</v>
      </c>
      <c r="H78" s="5" t="s">
        <v>178</v>
      </c>
      <c r="I78" s="5"/>
    </row>
    <row r="79" spans="1:9" x14ac:dyDescent="0.25">
      <c r="A79" s="2" t="s">
        <v>356</v>
      </c>
      <c r="B79" s="3" t="s">
        <v>35</v>
      </c>
      <c r="C79" s="3" t="str">
        <f>CONCATENATE(autopistas[[#This Row],[ZONA]]," - ",autopistas[[#This Row],[AUTOPISTA]])</f>
        <v>RUTA 202 - AUSOL</v>
      </c>
      <c r="D79" s="5" t="s">
        <v>357</v>
      </c>
      <c r="E79" s="5"/>
      <c r="F79" s="4" t="s">
        <v>358</v>
      </c>
      <c r="G79" s="4" t="s">
        <v>359</v>
      </c>
      <c r="H79" s="5" t="s">
        <v>27</v>
      </c>
      <c r="I79" s="5"/>
    </row>
    <row r="80" spans="1:9" x14ac:dyDescent="0.25">
      <c r="A80" s="2" t="s">
        <v>360</v>
      </c>
      <c r="B80" s="3" t="s">
        <v>17</v>
      </c>
      <c r="C80" s="3" t="str">
        <f>CONCATENATE(autopistas[[#This Row],[ZONA]]," - ",autopistas[[#This Row],[AUTOPISTA]])</f>
        <v>Ruta 36 - CAMINOS DE LAS SIERRAS</v>
      </c>
      <c r="D80" s="4" t="s">
        <v>361</v>
      </c>
      <c r="E80" s="5"/>
      <c r="F80" s="4" t="s">
        <v>362</v>
      </c>
      <c r="G80" s="6" t="s">
        <v>363</v>
      </c>
      <c r="H80" s="15" t="s">
        <v>364</v>
      </c>
      <c r="I80" s="5"/>
    </row>
    <row r="81" spans="1:9" x14ac:dyDescent="0.25">
      <c r="A81" s="2" t="s">
        <v>365</v>
      </c>
      <c r="B81" s="3" t="s">
        <v>17</v>
      </c>
      <c r="C81" s="3" t="str">
        <f>CONCATENATE(autopistas[[#This Row],[ZONA]]," - ",autopistas[[#This Row],[AUTOPISTA]])</f>
        <v>Ruta 36 Arroyo Tegua - CAMINOS DE LAS SIERRAS</v>
      </c>
      <c r="D81" s="4" t="s">
        <v>366</v>
      </c>
      <c r="E81" s="5"/>
      <c r="F81" s="4" t="s">
        <v>367</v>
      </c>
      <c r="G81" s="6" t="s">
        <v>368</v>
      </c>
      <c r="H81" s="15" t="s">
        <v>369</v>
      </c>
      <c r="I81" s="5"/>
    </row>
    <row r="82" spans="1:9" x14ac:dyDescent="0.25">
      <c r="A82" s="2" t="s">
        <v>370</v>
      </c>
      <c r="B82" s="3" t="s">
        <v>17</v>
      </c>
      <c r="C82" s="3" t="str">
        <f>CONCATENATE(autopistas[[#This Row],[ZONA]]," - ",autopistas[[#This Row],[AUTOPISTA]])</f>
        <v>Ruta 36 Piedras Moras - CAMINOS DE LAS SIERRAS</v>
      </c>
      <c r="D82" s="4" t="s">
        <v>371</v>
      </c>
      <c r="E82" s="5"/>
      <c r="F82" s="4" t="s">
        <v>372</v>
      </c>
      <c r="G82" s="6" t="s">
        <v>373</v>
      </c>
      <c r="H82" s="15" t="s">
        <v>374</v>
      </c>
      <c r="I82" s="5"/>
    </row>
    <row r="83" spans="1:9" x14ac:dyDescent="0.25">
      <c r="A83" s="2" t="s">
        <v>375</v>
      </c>
      <c r="B83" s="3" t="s">
        <v>17</v>
      </c>
      <c r="C83" s="3" t="str">
        <f>CONCATENATE(autopistas[[#This Row],[ZONA]]," - ",autopistas[[#This Row],[AUTOPISTA]])</f>
        <v>Ruta 5 - CAMINOS DE LAS SIERRAS</v>
      </c>
      <c r="D83" s="4" t="s">
        <v>376</v>
      </c>
      <c r="E83" s="5"/>
      <c r="F83" s="4" t="s">
        <v>377</v>
      </c>
      <c r="G83" s="6" t="s">
        <v>378</v>
      </c>
      <c r="H83" s="5" t="s">
        <v>379</v>
      </c>
      <c r="I83" s="5"/>
    </row>
    <row r="84" spans="1:9" x14ac:dyDescent="0.25">
      <c r="A84" s="2" t="s">
        <v>380</v>
      </c>
      <c r="B84" s="13" t="s">
        <v>65</v>
      </c>
      <c r="C84" s="3" t="str">
        <f>CONCATENATE(autopistas[[#This Row],[ZONA]]," - ",autopistas[[#This Row],[AUTOPISTA]])</f>
        <v>RUTA 8 ASCENDENTE - CEAMCE</v>
      </c>
      <c r="D84" s="4" t="s">
        <v>381</v>
      </c>
      <c r="E84" s="10"/>
      <c r="F84" s="4" t="s">
        <v>382</v>
      </c>
      <c r="G84" s="4" t="s">
        <v>383</v>
      </c>
      <c r="H84" s="5" t="s">
        <v>174</v>
      </c>
      <c r="I84" s="5"/>
    </row>
    <row r="85" spans="1:9" x14ac:dyDescent="0.25">
      <c r="A85" s="2" t="s">
        <v>384</v>
      </c>
      <c r="B85" s="13" t="s">
        <v>65</v>
      </c>
      <c r="C85" s="3" t="str">
        <f>CONCATENATE(autopistas[[#This Row],[ZONA]]," - ",autopistas[[#This Row],[AUTOPISTA]])</f>
        <v>RUTA 8 DESCENDIENTE - CEAMCE</v>
      </c>
      <c r="D85" s="4" t="s">
        <v>385</v>
      </c>
      <c r="E85" s="10"/>
      <c r="F85" s="4" t="s">
        <v>386</v>
      </c>
      <c r="G85" s="4" t="s">
        <v>387</v>
      </c>
      <c r="H85" s="5" t="s">
        <v>178</v>
      </c>
      <c r="I85" s="5"/>
    </row>
    <row r="86" spans="1:9" x14ac:dyDescent="0.25">
      <c r="A86" s="3" t="s">
        <v>388</v>
      </c>
      <c r="B86" s="3" t="s">
        <v>17</v>
      </c>
      <c r="C86" s="3" t="str">
        <f>CONCATENATE(autopistas[[#This Row],[ZONA]]," - ",autopistas[[#This Row],[AUTOPISTA]])</f>
        <v>Ruta 9 Nort - CAMINOS DE LAS SIERRAS</v>
      </c>
      <c r="D86" s="4" t="s">
        <v>389</v>
      </c>
      <c r="E86" s="5"/>
      <c r="F86" s="4" t="s">
        <v>390</v>
      </c>
      <c r="G86" s="6" t="s">
        <v>391</v>
      </c>
      <c r="H86" s="15" t="s">
        <v>392</v>
      </c>
      <c r="I86" s="5"/>
    </row>
    <row r="87" spans="1:9" x14ac:dyDescent="0.25">
      <c r="A87" s="3" t="s">
        <v>393</v>
      </c>
      <c r="B87" s="3" t="s">
        <v>17</v>
      </c>
      <c r="C87" s="3" t="str">
        <f>CONCATENATE(autopistas[[#This Row],[ZONA]]," - ",autopistas[[#This Row],[AUTOPISTA]])</f>
        <v>Ruta 9 Sur - CAMINOS DE LAS SIERRAS</v>
      </c>
      <c r="D87" s="4" t="s">
        <v>394</v>
      </c>
      <c r="E87" s="5"/>
      <c r="F87" s="4" t="s">
        <v>395</v>
      </c>
      <c r="G87" s="6" t="s">
        <v>396</v>
      </c>
      <c r="H87" s="15" t="s">
        <v>397</v>
      </c>
      <c r="I87" s="5"/>
    </row>
    <row r="88" spans="1:9" x14ac:dyDescent="0.25">
      <c r="A88" s="2" t="s">
        <v>398</v>
      </c>
      <c r="B88" s="3" t="s">
        <v>17</v>
      </c>
      <c r="C88" s="3" t="str">
        <f>CONCATENATE(autopistas[[#This Row],[ZONA]]," - ",autopistas[[#This Row],[AUTOPISTA]])</f>
        <v>Ruta E53 - CAMINOS DE LAS SIERRAS</v>
      </c>
      <c r="D88" s="4" t="s">
        <v>399</v>
      </c>
      <c r="E88" s="5"/>
      <c r="F88" s="4" t="s">
        <v>400</v>
      </c>
      <c r="G88" s="6" t="s">
        <v>401</v>
      </c>
      <c r="H88" s="15" t="s">
        <v>402</v>
      </c>
      <c r="I88" s="5"/>
    </row>
    <row r="89" spans="1:9" x14ac:dyDescent="0.25">
      <c r="A89" s="2" t="s">
        <v>403</v>
      </c>
      <c r="B89" s="3" t="s">
        <v>17</v>
      </c>
      <c r="C89" s="3" t="str">
        <f>CONCATENATE(autopistas[[#This Row],[ZONA]]," - ",autopistas[[#This Row],[AUTOPISTA]])</f>
        <v>Ruta E55 - CAMINOS DE LAS SIERRAS</v>
      </c>
      <c r="D89" s="4" t="s">
        <v>404</v>
      </c>
      <c r="E89" s="5"/>
      <c r="F89" s="4" t="s">
        <v>405</v>
      </c>
      <c r="G89" s="6" t="s">
        <v>406</v>
      </c>
      <c r="H89" s="15" t="s">
        <v>407</v>
      </c>
      <c r="I89" s="5"/>
    </row>
    <row r="90" spans="1:9" x14ac:dyDescent="0.25">
      <c r="A90" s="2" t="s">
        <v>408</v>
      </c>
      <c r="B90" s="3" t="s">
        <v>29</v>
      </c>
      <c r="C90" s="3" t="str">
        <f>CONCATENATE(autopistas[[#This Row],[ZONA]]," - ",autopistas[[#This Row],[AUTOPISTA]])</f>
        <v>SALGUERO - AUSA</v>
      </c>
      <c r="D90" s="4" t="s">
        <v>409</v>
      </c>
      <c r="E90" s="5"/>
      <c r="F90" s="4" t="s">
        <v>410</v>
      </c>
      <c r="G90" s="6" t="s">
        <v>411</v>
      </c>
      <c r="H90" s="7" t="s">
        <v>328</v>
      </c>
      <c r="I90" s="5"/>
    </row>
    <row r="91" spans="1:9" x14ac:dyDescent="0.25">
      <c r="A91" s="2" t="s">
        <v>412</v>
      </c>
      <c r="B91" s="3" t="s">
        <v>40</v>
      </c>
      <c r="C91" s="3" t="str">
        <f>CONCATENATE(autopistas[[#This Row],[ZONA]]," - ",autopistas[[#This Row],[AUTOPISTA]])</f>
        <v>SAMBOROMBON - AUBASA</v>
      </c>
      <c r="D91" s="4" t="s">
        <v>413</v>
      </c>
      <c r="E91" s="5"/>
      <c r="F91" s="4" t="s">
        <v>414</v>
      </c>
      <c r="G91" s="6" t="s">
        <v>415</v>
      </c>
      <c r="H91" s="7" t="s">
        <v>254</v>
      </c>
      <c r="I91" s="5"/>
    </row>
    <row r="92" spans="1:9" x14ac:dyDescent="0.25">
      <c r="A92" s="2" t="s">
        <v>416</v>
      </c>
      <c r="B92" s="3" t="s">
        <v>10</v>
      </c>
      <c r="C92" s="3" t="str">
        <f>CONCATENATE(autopistas[[#This Row],[ZONA]]," - ",autopistas[[#This Row],[AUTOPISTA]])</f>
        <v>SAMPACHO - RUTA 8 KM 655 - CORREDORES VIALES SA</v>
      </c>
      <c r="D92" s="4" t="s">
        <v>417</v>
      </c>
      <c r="E92" s="5" t="s">
        <v>12</v>
      </c>
      <c r="F92" s="4" t="s">
        <v>418</v>
      </c>
      <c r="G92" s="6" t="s">
        <v>419</v>
      </c>
      <c r="H92" s="7" t="s">
        <v>420</v>
      </c>
      <c r="I92" s="5"/>
    </row>
    <row r="93" spans="1:9" x14ac:dyDescent="0.25">
      <c r="A93" s="2" t="s">
        <v>421</v>
      </c>
      <c r="B93" s="3" t="s">
        <v>23</v>
      </c>
      <c r="C93" s="3" t="str">
        <f>CONCATENATE(autopistas[[#This Row],[ZONA]]," - ",autopistas[[#This Row],[AUTOPISTA]])</f>
        <v>SAN FERNANDO - AUTOPISTA DEL OESTE</v>
      </c>
      <c r="D93" s="4" t="s">
        <v>422</v>
      </c>
      <c r="E93" s="5"/>
      <c r="F93" s="6" t="s">
        <v>423</v>
      </c>
      <c r="G93" s="6" t="s">
        <v>424</v>
      </c>
      <c r="H93" s="7" t="s">
        <v>27</v>
      </c>
      <c r="I93" s="5"/>
    </row>
    <row r="94" spans="1:9" x14ac:dyDescent="0.25">
      <c r="A94" s="2" t="s">
        <v>425</v>
      </c>
      <c r="B94" s="3" t="s">
        <v>35</v>
      </c>
      <c r="C94" s="3" t="str">
        <f>CONCATENATE(autopistas[[#This Row],[ZONA]]," - ",autopistas[[#This Row],[AUTOPISTA]])</f>
        <v>SAN MARTIN - AUSOL</v>
      </c>
      <c r="D94" s="5" t="s">
        <v>426</v>
      </c>
      <c r="E94" s="5"/>
      <c r="F94" s="4" t="s">
        <v>427</v>
      </c>
      <c r="G94" s="4" t="s">
        <v>428</v>
      </c>
      <c r="H94" s="5" t="s">
        <v>27</v>
      </c>
      <c r="I94" s="5"/>
    </row>
    <row r="95" spans="1:9" x14ac:dyDescent="0.25">
      <c r="A95" s="2" t="s">
        <v>429</v>
      </c>
      <c r="B95" s="3" t="s">
        <v>10</v>
      </c>
      <c r="C95" s="3" t="str">
        <f>CONCATENATE(autopistas[[#This Row],[ZONA]]," - ",autopistas[[#This Row],[AUTOPISTA]])</f>
        <v>SAN VICENTE - RUTA 34 KM 160 - CORREDORES VIALES SA</v>
      </c>
      <c r="D95" s="4" t="s">
        <v>430</v>
      </c>
      <c r="E95" s="5" t="s">
        <v>12</v>
      </c>
      <c r="F95" s="4" t="s">
        <v>431</v>
      </c>
      <c r="G95" s="6" t="s">
        <v>432</v>
      </c>
      <c r="H95" s="7" t="s">
        <v>98</v>
      </c>
      <c r="I95" s="5"/>
    </row>
    <row r="96" spans="1:9" x14ac:dyDescent="0.25">
      <c r="A96" s="2" t="s">
        <v>433</v>
      </c>
      <c r="B96" s="3" t="s">
        <v>23</v>
      </c>
      <c r="C96" s="3" t="str">
        <f>CONCATENATE(autopistas[[#This Row],[ZONA]]," - ",autopistas[[#This Row],[AUTOPISTA]])</f>
        <v>SANTA ROSA - AUTOPISTA DEL OESTE</v>
      </c>
      <c r="D96" s="4" t="s">
        <v>434</v>
      </c>
      <c r="E96" s="5"/>
      <c r="F96" s="4" t="s">
        <v>435</v>
      </c>
      <c r="G96" s="6" t="s">
        <v>436</v>
      </c>
      <c r="H96" s="7" t="s">
        <v>27</v>
      </c>
      <c r="I96" s="5"/>
    </row>
    <row r="97" spans="1:9" x14ac:dyDescent="0.25">
      <c r="A97" s="2" t="s">
        <v>437</v>
      </c>
      <c r="B97" s="3" t="s">
        <v>29</v>
      </c>
      <c r="C97" s="3" t="str">
        <f>CONCATENATE(autopistas[[#This Row],[ZONA]]," - ",autopistas[[#This Row],[AUTOPISTA]])</f>
        <v>SARMIENTO - AUSA</v>
      </c>
      <c r="D97" s="4" t="s">
        <v>438</v>
      </c>
      <c r="E97" s="5"/>
      <c r="F97" s="4" t="s">
        <v>439</v>
      </c>
      <c r="G97" s="6" t="s">
        <v>440</v>
      </c>
      <c r="H97" s="7" t="s">
        <v>328</v>
      </c>
      <c r="I97" s="5"/>
    </row>
    <row r="98" spans="1:9" ht="30" x14ac:dyDescent="0.25">
      <c r="A98" s="2" t="s">
        <v>441</v>
      </c>
      <c r="B98" s="3" t="s">
        <v>10</v>
      </c>
      <c r="C98" s="3" t="str">
        <f>CONCATENATE(autopistas[[#This Row],[ZONA]]," - ",autopistas[[#This Row],[AUTOPISTA]])</f>
        <v>SOLIS - RUTA 8 KM 102 - CORREDORES VIALES SA</v>
      </c>
      <c r="D98" s="4" t="s">
        <v>442</v>
      </c>
      <c r="E98" s="5" t="s">
        <v>12</v>
      </c>
      <c r="F98" s="4" t="s">
        <v>443</v>
      </c>
      <c r="G98" s="6" t="s">
        <v>444</v>
      </c>
      <c r="H98" s="16" t="s">
        <v>445</v>
      </c>
      <c r="I98" s="5"/>
    </row>
    <row r="99" spans="1:9" x14ac:dyDescent="0.25">
      <c r="A99" s="2" t="s">
        <v>446</v>
      </c>
      <c r="B99" s="3" t="s">
        <v>35</v>
      </c>
      <c r="C99" s="3" t="str">
        <f>CONCATENATE(autopistas[[#This Row],[ZONA]]," - ",autopistas[[#This Row],[AUTOPISTA]])</f>
        <v>TIGRE - AUSOL</v>
      </c>
      <c r="D99" s="5" t="s">
        <v>447</v>
      </c>
      <c r="E99" s="5"/>
      <c r="F99" s="4" t="s">
        <v>448</v>
      </c>
      <c r="G99" s="4" t="s">
        <v>449</v>
      </c>
      <c r="H99" s="5" t="s">
        <v>450</v>
      </c>
      <c r="I99" s="5"/>
    </row>
    <row r="100" spans="1:9" x14ac:dyDescent="0.25">
      <c r="A100" s="2" t="s">
        <v>451</v>
      </c>
      <c r="B100" s="3" t="s">
        <v>10</v>
      </c>
      <c r="C100" s="3" t="str">
        <f>CONCATENATE(autopistas[[#This Row],[ZONA]]," - ",autopistas[[#This Row],[AUTOPISTA]])</f>
        <v>TRENQUE LAUQUEN - RUTA 5 KM 429 - CORREDORES VIALES SA</v>
      </c>
      <c r="D100" s="4" t="s">
        <v>452</v>
      </c>
      <c r="E100" s="5" t="s">
        <v>12</v>
      </c>
      <c r="F100" s="4" t="s">
        <v>453</v>
      </c>
      <c r="G100" s="6" t="s">
        <v>454</v>
      </c>
      <c r="H100" s="7" t="s">
        <v>455</v>
      </c>
      <c r="I100" s="5"/>
    </row>
    <row r="101" spans="1:9" x14ac:dyDescent="0.25">
      <c r="A101" s="2" t="s">
        <v>456</v>
      </c>
      <c r="B101" s="3" t="s">
        <v>10</v>
      </c>
      <c r="C101" s="3" t="str">
        <f>CONCATENATE(autopistas[[#This Row],[ZONA]]," - ",autopistas[[#This Row],[AUTOPISTA]])</f>
        <v>TRISTAN SUAREZ - CORREDORES VIALES SA</v>
      </c>
      <c r="D101" s="4" t="s">
        <v>457</v>
      </c>
      <c r="E101" s="5"/>
      <c r="F101" s="4" t="s">
        <v>458</v>
      </c>
      <c r="G101" s="6" t="s">
        <v>459</v>
      </c>
      <c r="H101" s="7" t="s">
        <v>155</v>
      </c>
      <c r="I101" s="5"/>
    </row>
    <row r="102" spans="1:9" x14ac:dyDescent="0.25">
      <c r="A102" s="2" t="s">
        <v>460</v>
      </c>
      <c r="B102" s="3" t="s">
        <v>461</v>
      </c>
      <c r="C102" s="3" t="str">
        <f>CONCATENATE(autopistas[[#This Row],[ZONA]]," - ",autopistas[[#This Row],[AUTOPISTA]])</f>
        <v>TUNEL SUBFLUVIAL - ENTRE RIOS - TUNEL SUBFLUVIAL</v>
      </c>
      <c r="D102" s="4" t="s">
        <v>462</v>
      </c>
      <c r="E102" s="5" t="s">
        <v>12</v>
      </c>
      <c r="F102" s="4" t="s">
        <v>463</v>
      </c>
      <c r="G102" s="4" t="s">
        <v>464</v>
      </c>
      <c r="H102" s="7" t="s">
        <v>465</v>
      </c>
      <c r="I102" s="5"/>
    </row>
    <row r="103" spans="1:9" x14ac:dyDescent="0.25">
      <c r="A103" s="2" t="s">
        <v>466</v>
      </c>
      <c r="B103" s="3" t="s">
        <v>461</v>
      </c>
      <c r="C103" s="3" t="str">
        <f>CONCATENATE(autopistas[[#This Row],[ZONA]]," - ",autopistas[[#This Row],[AUTOPISTA]])</f>
        <v>TUNEL SUBFLUVIAL - SANTA FE - TUNEL SUBFLUVIAL</v>
      </c>
      <c r="D103" s="4" t="s">
        <v>467</v>
      </c>
      <c r="E103" s="5" t="s">
        <v>12</v>
      </c>
      <c r="F103" s="4" t="s">
        <v>468</v>
      </c>
      <c r="G103" s="4" t="s">
        <v>469</v>
      </c>
      <c r="H103" s="7" t="s">
        <v>465</v>
      </c>
      <c r="I103" s="5"/>
    </row>
    <row r="104" spans="1:9" x14ac:dyDescent="0.25">
      <c r="A104" s="2" t="s">
        <v>470</v>
      </c>
      <c r="B104" s="3" t="s">
        <v>10</v>
      </c>
      <c r="C104" s="3" t="str">
        <f>CONCATENATE(autopistas[[#This Row],[ZONA]]," - ",autopistas[[#This Row],[AUTOPISTA]])</f>
        <v>URIBELARREA - RUTA 205 KM. 83 - CORREDORES VIALES SA</v>
      </c>
      <c r="D104" s="4" t="s">
        <v>471</v>
      </c>
      <c r="E104" s="5" t="s">
        <v>12</v>
      </c>
      <c r="F104" s="4" t="s">
        <v>472</v>
      </c>
      <c r="G104" s="6" t="s">
        <v>473</v>
      </c>
      <c r="H104" s="7" t="s">
        <v>474</v>
      </c>
      <c r="I104" s="5"/>
    </row>
    <row r="105" spans="1:9" x14ac:dyDescent="0.25">
      <c r="A105" s="2" t="s">
        <v>475</v>
      </c>
      <c r="B105" s="3" t="s">
        <v>10</v>
      </c>
      <c r="C105" s="3" t="str">
        <f>CONCATENATE(autopistas[[#This Row],[ZONA]]," - ",autopistas[[#This Row],[AUTOPISTA]])</f>
        <v>V. TUERTO (RN8) - RUTA 8 KM 381 - CORREDORES VIALES SA</v>
      </c>
      <c r="D105" s="4" t="s">
        <v>476</v>
      </c>
      <c r="E105" s="5" t="s">
        <v>12</v>
      </c>
      <c r="F105" s="4" t="s">
        <v>477</v>
      </c>
      <c r="G105" s="6" t="s">
        <v>478</v>
      </c>
      <c r="H105" s="7" t="s">
        <v>479</v>
      </c>
      <c r="I105" s="5"/>
    </row>
    <row r="106" spans="1:9" x14ac:dyDescent="0.25">
      <c r="A106" s="2" t="s">
        <v>480</v>
      </c>
      <c r="B106" s="3" t="s">
        <v>10</v>
      </c>
      <c r="C106" s="3" t="str">
        <f>CONCATENATE(autopistas[[#This Row],[ZONA]]," - ",autopistas[[#This Row],[AUTOPISTA]])</f>
        <v>TANDIL (VASCONIA) - RUTA 226 KM. 153 - CORREDORES VIALES SA</v>
      </c>
      <c r="D106" s="4" t="s">
        <v>481</v>
      </c>
      <c r="E106" s="5" t="s">
        <v>12</v>
      </c>
      <c r="F106" s="4" t="s">
        <v>482</v>
      </c>
      <c r="G106" s="4" t="s">
        <v>483</v>
      </c>
      <c r="H106" s="7" t="s">
        <v>484</v>
      </c>
      <c r="I106" s="5"/>
    </row>
    <row r="107" spans="1:9" x14ac:dyDescent="0.25">
      <c r="A107" s="2" t="s">
        <v>485</v>
      </c>
      <c r="B107" s="3" t="s">
        <v>23</v>
      </c>
      <c r="C107" s="3" t="str">
        <f>CONCATENATE(autopistas[[#This Row],[ZONA]]," - ",autopistas[[#This Row],[AUTOPISTA]])</f>
        <v>VERGARA - AUTOPISTA DEL OESTE</v>
      </c>
      <c r="D107" s="4" t="s">
        <v>486</v>
      </c>
      <c r="E107" s="5"/>
      <c r="F107" s="6" t="s">
        <v>487</v>
      </c>
      <c r="G107" s="6" t="s">
        <v>488</v>
      </c>
      <c r="H107" s="7" t="s">
        <v>27</v>
      </c>
      <c r="I107" s="5"/>
    </row>
    <row r="108" spans="1:9" x14ac:dyDescent="0.25">
      <c r="A108" s="2" t="s">
        <v>489</v>
      </c>
      <c r="B108" s="3" t="s">
        <v>10</v>
      </c>
      <c r="C108" s="3" t="str">
        <f>CONCATENATE(autopistas[[#This Row],[ZONA]]," - ",autopistas[[#This Row],[AUTOPISTA]])</f>
        <v>VICUÑA MACKENNA - RUTA 7 KM 592 - CORREDORES VIALES SA</v>
      </c>
      <c r="D108" s="4" t="s">
        <v>490</v>
      </c>
      <c r="E108" s="5" t="s">
        <v>12</v>
      </c>
      <c r="F108" s="4" t="s">
        <v>491</v>
      </c>
      <c r="G108" s="6" t="s">
        <v>492</v>
      </c>
      <c r="H108" s="7" t="s">
        <v>493</v>
      </c>
      <c r="I108" s="5"/>
    </row>
    <row r="109" spans="1:9" x14ac:dyDescent="0.25">
      <c r="A109" s="2" t="s">
        <v>494</v>
      </c>
      <c r="B109" s="3" t="s">
        <v>10</v>
      </c>
      <c r="C109" s="3" t="str">
        <f>CONCATENATE(autopistas[[#This Row],[ZONA]]," - ",autopistas[[#This Row],[AUTOPISTA]])</f>
        <v>VILLA ESPIL - RUTA 7 KM. 88 - CORREDORES VIALES SA</v>
      </c>
      <c r="D109" s="4" t="s">
        <v>495</v>
      </c>
      <c r="E109" s="5" t="s">
        <v>12</v>
      </c>
      <c r="F109" s="4" t="s">
        <v>496</v>
      </c>
      <c r="G109" s="6" t="s">
        <v>497</v>
      </c>
      <c r="H109" s="7" t="s">
        <v>498</v>
      </c>
      <c r="I109" s="5">
        <v>1</v>
      </c>
    </row>
    <row r="110" spans="1:9" x14ac:dyDescent="0.25">
      <c r="A110" s="2" t="s">
        <v>499</v>
      </c>
      <c r="B110" s="3" t="s">
        <v>100</v>
      </c>
      <c r="C110" s="3" t="str">
        <f>CONCATENATE(autopistas[[#This Row],[ZONA]]," - ",autopistas[[#This Row],[AUTOPISTA]])</f>
        <v>YERUA - RUTA 14 KM 242 - CAMINOS DEL RIO URUGUAY SA</v>
      </c>
      <c r="D110" s="4" t="s">
        <v>500</v>
      </c>
      <c r="E110" s="5" t="s">
        <v>12</v>
      </c>
      <c r="F110" s="4" t="s">
        <v>501</v>
      </c>
      <c r="G110" s="4" t="s">
        <v>502</v>
      </c>
      <c r="H110" s="7" t="s">
        <v>503</v>
      </c>
      <c r="I110" s="5"/>
    </row>
    <row r="111" spans="1:9" x14ac:dyDescent="0.25">
      <c r="A111" s="2" t="s">
        <v>504</v>
      </c>
      <c r="B111" s="3" t="s">
        <v>100</v>
      </c>
      <c r="C111" s="3" t="str">
        <f>CONCATENATE(autopistas[[#This Row],[ZONA]]," - ",autopistas[[#This Row],[AUTOPISTA]])</f>
        <v>ZARATE - RUTA 12 KM 85 - CAMINOS DEL RIO URUGUAY SA</v>
      </c>
      <c r="D111" s="4" t="s">
        <v>505</v>
      </c>
      <c r="E111" s="5" t="s">
        <v>12</v>
      </c>
      <c r="F111" s="4" t="s">
        <v>506</v>
      </c>
      <c r="G111" s="6" t="s">
        <v>507</v>
      </c>
      <c r="H111" s="7" t="s">
        <v>508</v>
      </c>
      <c r="I111" s="5"/>
    </row>
    <row r="112" spans="1:9" x14ac:dyDescent="0.25">
      <c r="A112" s="2" t="s">
        <v>509</v>
      </c>
      <c r="B112" s="3" t="s">
        <v>10</v>
      </c>
      <c r="C112" s="3" t="str">
        <f>CONCATENATE(autopistas[[#This Row],[ZONA]]," - ",autopistas[[#This Row],[AUTOPISTA]])</f>
        <v>ZARATE - RUTA 9 KM. 95 - CORREDORES VIALES SA</v>
      </c>
      <c r="D112" s="4" t="s">
        <v>510</v>
      </c>
      <c r="E112" s="5" t="s">
        <v>12</v>
      </c>
      <c r="F112" s="4" t="s">
        <v>511</v>
      </c>
      <c r="G112" s="6" t="s">
        <v>512</v>
      </c>
      <c r="H112" s="7" t="s">
        <v>513</v>
      </c>
      <c r="I112" s="5"/>
    </row>
    <row r="113" spans="1:9" x14ac:dyDescent="0.25">
      <c r="A113" s="2" t="s">
        <v>514</v>
      </c>
      <c r="B113" s="2" t="s">
        <v>515</v>
      </c>
      <c r="C113" s="9" t="str">
        <f>CONCATENATE(autopistas[[#This Row],[ZONA]]," - ",autopistas[[#This Row],[AUTOPISTA]])</f>
        <v>DESAGUADERO - ENTE DE CONTROL DE RUTAS</v>
      </c>
      <c r="D113" s="4" t="s">
        <v>516</v>
      </c>
      <c r="E113" s="5"/>
      <c r="F113" s="4" t="s">
        <v>517</v>
      </c>
      <c r="G113" s="4" t="s">
        <v>518</v>
      </c>
      <c r="H113" s="4" t="s">
        <v>519</v>
      </c>
      <c r="I113" s="10"/>
    </row>
    <row r="114" spans="1:9" x14ac:dyDescent="0.25">
      <c r="A114" s="2" t="s">
        <v>520</v>
      </c>
      <c r="B114" s="2" t="s">
        <v>515</v>
      </c>
      <c r="C114" s="9" t="str">
        <f>CONCATENATE(autopistas[[#This Row],[ZONA]]," - ",autopistas[[#This Row],[AUTOPISTA]])</f>
        <v>ANCHORENA - ENTE DE CONTROL DE RUTAS</v>
      </c>
      <c r="D114" s="4" t="s">
        <v>521</v>
      </c>
      <c r="E114" s="5"/>
      <c r="F114" s="4"/>
      <c r="G114" s="4"/>
      <c r="H114" s="4"/>
      <c r="I114" s="10"/>
    </row>
    <row r="115" spans="1:9" x14ac:dyDescent="0.25">
      <c r="A115" s="2" t="s">
        <v>522</v>
      </c>
      <c r="B115" s="2" t="s">
        <v>515</v>
      </c>
      <c r="C115" s="9" t="str">
        <f>CONCATENATE(autopistas[[#This Row],[ZONA]]," - ",autopistas[[#This Row],[AUTOPISTA]])</f>
        <v>BUENA ESPERANZA - ENTE DE CONTROL DE RUTAS</v>
      </c>
      <c r="D115" s="4" t="s">
        <v>523</v>
      </c>
      <c r="E115" s="5"/>
      <c r="F115" s="4"/>
      <c r="G115" s="6"/>
      <c r="H115" s="4"/>
      <c r="I115" s="10"/>
    </row>
    <row r="116" spans="1:9" x14ac:dyDescent="0.25">
      <c r="A116" s="2" t="s">
        <v>524</v>
      </c>
      <c r="B116" s="2" t="s">
        <v>515</v>
      </c>
      <c r="C116" s="9" t="str">
        <f>CONCATENATE(autopistas[[#This Row],[ZONA]]," - ",autopistas[[#This Row],[AUTOPISTA]])</f>
        <v>CRUZ DE PIEDRA - ENTE DE CONTROL DE RUTAS</v>
      </c>
      <c r="D116" s="4" t="s">
        <v>525</v>
      </c>
      <c r="E116" s="5"/>
      <c r="F116" s="4"/>
      <c r="G116" s="6"/>
      <c r="H116" s="4"/>
      <c r="I116" s="10"/>
    </row>
    <row r="117" spans="1:9" x14ac:dyDescent="0.25">
      <c r="A117" s="2" t="s">
        <v>526</v>
      </c>
      <c r="B117" s="2" t="s">
        <v>515</v>
      </c>
      <c r="C117" s="9" t="str">
        <f>CONCATENATE(autopistas[[#This Row],[ZONA]]," - ",autopistas[[#This Row],[AUTOPISTA]])</f>
        <v>CUATRO ESQUINAS - ENTE DE CONTROL DE RUTAS</v>
      </c>
      <c r="D117" s="4" t="s">
        <v>527</v>
      </c>
      <c r="E117" s="5"/>
      <c r="F117" s="4"/>
      <c r="G117" s="4"/>
      <c r="H117" s="4"/>
      <c r="I117" s="10"/>
    </row>
    <row r="118" spans="1:9" x14ac:dyDescent="0.25">
      <c r="A118" s="2" t="s">
        <v>528</v>
      </c>
      <c r="B118" s="2" t="s">
        <v>515</v>
      </c>
      <c r="C118" s="9" t="str">
        <f>CONCATENATE(autopistas[[#This Row],[ZONA]]," - ",autopistas[[#This Row],[AUTOPISTA]])</f>
        <v>EL PORTEZUELO - ENTE DE CONTROL DE RUTAS</v>
      </c>
      <c r="D118" s="4" t="s">
        <v>529</v>
      </c>
      <c r="E118" s="5"/>
      <c r="F118" s="4"/>
      <c r="G118" s="4"/>
      <c r="H118" s="4"/>
      <c r="I118" s="10"/>
    </row>
    <row r="119" spans="1:9" x14ac:dyDescent="0.25">
      <c r="A119" s="2" t="s">
        <v>530</v>
      </c>
      <c r="B119" s="2" t="s">
        <v>515</v>
      </c>
      <c r="C119" s="9" t="str">
        <f>CONCATENATE(autopistas[[#This Row],[ZONA]]," - ",autopistas[[#This Row],[AUTOPISTA]])</f>
        <v>JUSTO DARACK - ENTE DE CONTROL DE RUTAS</v>
      </c>
      <c r="D119" s="4" t="s">
        <v>531</v>
      </c>
      <c r="E119" s="5"/>
      <c r="F119" s="4" t="s">
        <v>532</v>
      </c>
      <c r="G119" s="4" t="s">
        <v>533</v>
      </c>
      <c r="H119" s="7" t="s">
        <v>534</v>
      </c>
      <c r="I119" s="10"/>
    </row>
    <row r="120" spans="1:9" x14ac:dyDescent="0.25">
      <c r="A120" s="2" t="s">
        <v>535</v>
      </c>
      <c r="B120" s="2" t="s">
        <v>515</v>
      </c>
      <c r="C120" s="9" t="str">
        <f>CONCATENATE(autopistas[[#This Row],[ZONA]]," - ",autopistas[[#This Row],[AUTOPISTA]])</f>
        <v>LA CUMBRE - ENTE DE CONTROL DE RUTAS</v>
      </c>
      <c r="D120" s="4" t="s">
        <v>536</v>
      </c>
      <c r="E120" s="5"/>
      <c r="F120" s="4" t="s">
        <v>537</v>
      </c>
      <c r="G120" s="4" t="s">
        <v>538</v>
      </c>
      <c r="H120" s="7" t="s">
        <v>534</v>
      </c>
      <c r="I120" s="10"/>
    </row>
    <row r="121" spans="1:9" x14ac:dyDescent="0.25">
      <c r="A121" s="2" t="s">
        <v>539</v>
      </c>
      <c r="B121" s="2" t="s">
        <v>515</v>
      </c>
      <c r="C121" s="9" t="str">
        <f>CONCATENATE(autopistas[[#This Row],[ZONA]]," - ",autopistas[[#This Row],[AUTOPISTA]])</f>
        <v>LA PUNILLA - ENTE DE CONTROL DE RUTAS</v>
      </c>
      <c r="D121" s="4" t="s">
        <v>540</v>
      </c>
      <c r="E121" s="5"/>
      <c r="F121" s="4"/>
      <c r="G121" s="4"/>
      <c r="H121" s="5"/>
      <c r="I121" s="10"/>
    </row>
    <row r="122" spans="1:9" x14ac:dyDescent="0.25">
      <c r="A122" s="2" t="s">
        <v>541</v>
      </c>
      <c r="B122" s="2" t="s">
        <v>515</v>
      </c>
      <c r="C122" s="9" t="str">
        <f>CONCATENATE(autopistas[[#This Row],[ZONA]]," - ",autopistas[[#This Row],[AUTOPISTA]])</f>
        <v>LA TOMA - ENTE DE CONTROL DE RUTAS</v>
      </c>
      <c r="D122" s="4" t="s">
        <v>542</v>
      </c>
      <c r="E122" s="5"/>
      <c r="F122" s="4"/>
      <c r="G122" s="4"/>
      <c r="H122" s="4"/>
      <c r="I122" s="10"/>
    </row>
    <row r="123" spans="1:9" x14ac:dyDescent="0.25">
      <c r="A123" s="2" t="s">
        <v>543</v>
      </c>
      <c r="B123" s="2" t="s">
        <v>515</v>
      </c>
      <c r="C123" s="9" t="str">
        <f>CONCATENATE(autopistas[[#This Row],[ZONA]]," - ",autopistas[[#This Row],[AUTOPISTA]])</f>
        <v>LOS PUQUIOS - ENTE DE CONTROL DE RUTAS</v>
      </c>
      <c r="D123" s="4" t="s">
        <v>544</v>
      </c>
      <c r="E123" s="5"/>
      <c r="F123" s="4"/>
      <c r="G123" s="4"/>
      <c r="H123" s="4"/>
      <c r="I123" s="10"/>
    </row>
    <row r="124" spans="1:9" x14ac:dyDescent="0.25">
      <c r="A124" s="2" t="s">
        <v>545</v>
      </c>
      <c r="B124" s="2" t="s">
        <v>515</v>
      </c>
      <c r="C124" s="9" t="str">
        <f>CONCATENATE(autopistas[[#This Row],[ZONA]]," - ",autopistas[[#This Row],[AUTOPISTA]])</f>
        <v>RIO QUINTO - ENTE DE CONTROL DE RUTAS</v>
      </c>
      <c r="D124" s="4" t="s">
        <v>546</v>
      </c>
      <c r="E124" s="5"/>
      <c r="F124" s="4"/>
      <c r="G124" s="4"/>
      <c r="H124" s="4"/>
      <c r="I124" s="10"/>
    </row>
    <row r="125" spans="1:9" x14ac:dyDescent="0.25">
      <c r="A125" s="2" t="s">
        <v>433</v>
      </c>
      <c r="B125" s="2" t="s">
        <v>515</v>
      </c>
      <c r="C125" s="9" t="str">
        <f>CONCATENATE(autopistas[[#This Row],[ZONA]]," - ",autopistas[[#This Row],[AUTOPISTA]])</f>
        <v>SANTA ROSA - ENTE DE CONTROL DE RUTAS</v>
      </c>
      <c r="D125" s="4" t="s">
        <v>547</v>
      </c>
      <c r="E125" s="5"/>
      <c r="F125" s="4"/>
      <c r="G125" s="4"/>
      <c r="H125" s="4"/>
      <c r="I125" s="10"/>
    </row>
    <row r="126" spans="1:9" x14ac:dyDescent="0.25">
      <c r="A126" s="2" t="s">
        <v>548</v>
      </c>
      <c r="B126" s="2" t="s">
        <v>515</v>
      </c>
      <c r="C126" s="9" t="str">
        <f>CONCATENATE(autopistas[[#This Row],[ZONA]]," - ",autopistas[[#This Row],[AUTOPISTA]])</f>
        <v>VILLA MERCEDES - ENTE DE CONTROL DE RUTAS</v>
      </c>
      <c r="D126" s="4" t="s">
        <v>549</v>
      </c>
      <c r="E126" s="5"/>
      <c r="F126" s="4"/>
      <c r="G126" s="4"/>
      <c r="H126" s="4"/>
      <c r="I126" s="10"/>
    </row>
    <row r="127" spans="1:9" x14ac:dyDescent="0.25">
      <c r="A127" s="2" t="s">
        <v>550</v>
      </c>
      <c r="B127" s="2" t="s">
        <v>551</v>
      </c>
      <c r="C127" s="9" t="str">
        <f>CONCATENATE(autopistas[[#This Row],[ZONA]]," - ",autopistas[[#This Row],[AUTOPISTA]])</f>
        <v>LA RIBERA - UNIDAD EJECUTORA (SANTA FE)</v>
      </c>
      <c r="D127" s="4" t="s">
        <v>552</v>
      </c>
      <c r="E127" s="5"/>
      <c r="F127" s="4" t="s">
        <v>553</v>
      </c>
      <c r="G127" s="4" t="s">
        <v>554</v>
      </c>
      <c r="H127" s="4" t="s">
        <v>555</v>
      </c>
      <c r="I127" s="10"/>
    </row>
    <row r="128" spans="1:9" x14ac:dyDescent="0.25">
      <c r="A128" s="2" t="s">
        <v>556</v>
      </c>
      <c r="B128" s="2" t="s">
        <v>551</v>
      </c>
      <c r="C128" s="9" t="str">
        <f>CONCATENATE(autopistas[[#This Row],[ZONA]]," - ",autopistas[[#This Row],[AUTOPISTA]])</f>
        <v>ALDAO - UNIDAD EJECUTORA (SANTA FE)</v>
      </c>
      <c r="D128" s="4" t="s">
        <v>557</v>
      </c>
      <c r="E128" s="5"/>
      <c r="F128" s="4" t="s">
        <v>558</v>
      </c>
      <c r="G128" s="4" t="s">
        <v>559</v>
      </c>
      <c r="H128" s="4" t="s">
        <v>555</v>
      </c>
      <c r="I128" s="10"/>
    </row>
    <row r="129" spans="1:9" x14ac:dyDescent="0.25">
      <c r="A129" s="2" t="s">
        <v>560</v>
      </c>
      <c r="B129" s="2" t="s">
        <v>551</v>
      </c>
      <c r="C129" s="9" t="str">
        <f>CONCATENATE(autopistas[[#This Row],[ZONA]]," - ",autopistas[[#This Row],[AUTOPISTA]])</f>
        <v>SANTO TOME - UNIDAD EJECUTORA (SANTA FE)</v>
      </c>
      <c r="D129" s="4" t="s">
        <v>561</v>
      </c>
      <c r="E129" s="5"/>
      <c r="F129" s="4" t="s">
        <v>562</v>
      </c>
      <c r="G129" s="4" t="s">
        <v>563</v>
      </c>
      <c r="H129" s="4" t="s">
        <v>555</v>
      </c>
      <c r="I129" s="10"/>
    </row>
    <row r="130" spans="1:9" x14ac:dyDescent="0.25">
      <c r="A130" s="2" t="s">
        <v>564</v>
      </c>
      <c r="B130" s="2" t="s">
        <v>551</v>
      </c>
      <c r="C130" s="9" t="str">
        <f>CONCATENATE(autopistas[[#This Row],[ZONA]]," - ",autopistas[[#This Row],[AUTOPISTA]])</f>
        <v>SAN LORENZO SUR - UNIDAD EJECUTORA (SANTA FE)</v>
      </c>
      <c r="D130" s="4" t="s">
        <v>565</v>
      </c>
      <c r="E130" s="5"/>
      <c r="F130" s="4" t="s">
        <v>566</v>
      </c>
      <c r="G130" s="4" t="s">
        <v>567</v>
      </c>
      <c r="H130" s="4" t="s">
        <v>568</v>
      </c>
      <c r="I130" s="10"/>
    </row>
    <row r="131" spans="1:9" x14ac:dyDescent="0.25">
      <c r="A131" s="2" t="s">
        <v>569</v>
      </c>
      <c r="B131" s="2" t="s">
        <v>551</v>
      </c>
      <c r="C131" s="9" t="str">
        <f>CONCATENATE(autopistas[[#This Row],[ZONA]]," - ",autopistas[[#This Row],[AUTOPISTA]])</f>
        <v>SAN LORENZO NORTE - UNIDAD EJECUTORA (SANTA FE)</v>
      </c>
      <c r="D131" s="4" t="s">
        <v>570</v>
      </c>
      <c r="E131" s="5"/>
      <c r="F131" s="4" t="s">
        <v>571</v>
      </c>
      <c r="G131" s="4" t="s">
        <v>572</v>
      </c>
      <c r="H131" s="4" t="s">
        <v>573</v>
      </c>
      <c r="I131" s="10"/>
    </row>
    <row r="132" spans="1:9" x14ac:dyDescent="0.25">
      <c r="A132" s="2" t="s">
        <v>574</v>
      </c>
      <c r="B132" s="2" t="s">
        <v>551</v>
      </c>
      <c r="C132" s="9" t="str">
        <f>CONCATENATE(autopistas[[#This Row],[ZONA]]," - ",autopistas[[#This Row],[AUTOPISTA]])</f>
        <v>SAN LORENZO CENTRO - UNIDAD EJECUTORA (SANTA FE)</v>
      </c>
      <c r="D132" s="4" t="s">
        <v>575</v>
      </c>
      <c r="E132" s="5"/>
      <c r="F132" s="4" t="s">
        <v>576</v>
      </c>
      <c r="G132" s="4" t="s">
        <v>577</v>
      </c>
      <c r="H132" s="4" t="s">
        <v>578</v>
      </c>
      <c r="I132" s="10"/>
    </row>
    <row r="133" spans="1:9" x14ac:dyDescent="0.25">
      <c r="A133" s="2" t="s">
        <v>579</v>
      </c>
      <c r="B133" s="2" t="s">
        <v>551</v>
      </c>
      <c r="C133" s="9" t="str">
        <f>CONCATENATE(autopistas[[#This Row],[ZONA]]," - ",autopistas[[#This Row],[AUTOPISTA]])</f>
        <v>ACCESO SAUCE VIEJO - UNIDAD EJECUTORA (SANTA FE)</v>
      </c>
      <c r="D133" s="4" t="s">
        <v>580</v>
      </c>
      <c r="E133" s="5"/>
      <c r="F133" s="4" t="s">
        <v>581</v>
      </c>
      <c r="G133" s="4" t="s">
        <v>582</v>
      </c>
      <c r="H133" s="4" t="s">
        <v>583</v>
      </c>
      <c r="I133" s="10"/>
    </row>
    <row r="134" spans="1:9" x14ac:dyDescent="0.25">
      <c r="A134" s="2" t="s">
        <v>584</v>
      </c>
      <c r="B134" s="2" t="s">
        <v>551</v>
      </c>
      <c r="C134" s="9" t="str">
        <f>CONCATENATE(autopistas[[#This Row],[ZONA]]," - ",autopistas[[#This Row],[AUTOPISTA]])</f>
        <v>TRONCAL SAUCE VIEJO - UNIDAD EJECUTORA (SANTA FE)</v>
      </c>
      <c r="D134" s="4" t="s">
        <v>585</v>
      </c>
      <c r="E134" s="5"/>
      <c r="F134" s="4" t="s">
        <v>586</v>
      </c>
      <c r="G134" s="4" t="s">
        <v>587</v>
      </c>
      <c r="H134" s="4" t="s">
        <v>555</v>
      </c>
      <c r="I134" s="10"/>
    </row>
    <row r="135" spans="1:9" x14ac:dyDescent="0.25">
      <c r="A135" s="2" t="s">
        <v>588</v>
      </c>
      <c r="B135" s="17" t="s">
        <v>589</v>
      </c>
      <c r="C135" s="9" t="str">
        <f>CONCATENATE(autopistas[[#This Row],[ZONA]]," - ",autopistas[[#This Row],[AUTOPISTA]])</f>
        <v>JUNIN -  RUTA 188 KM 152 - CORREDOR DE INTEGRACION PAMPEANA</v>
      </c>
      <c r="D135" s="4" t="s">
        <v>590</v>
      </c>
      <c r="E135" s="5"/>
      <c r="F135" s="4" t="s">
        <v>591</v>
      </c>
      <c r="G135" s="4" t="s">
        <v>592</v>
      </c>
      <c r="H135" s="4" t="s">
        <v>593</v>
      </c>
      <c r="I135" s="10"/>
    </row>
    <row r="136" spans="1:9" x14ac:dyDescent="0.25">
      <c r="A136" s="2" t="s">
        <v>594</v>
      </c>
      <c r="B136" s="2" t="s">
        <v>595</v>
      </c>
      <c r="C136" s="9" t="str">
        <f>CONCATENATE(autopistas[[#This Row],[ZONA]]," - ",autopistas[[#This Row],[AUTOPISTA]])</f>
        <v>FERNANDEZ - AUTOVIA BS. AS. A LOS ANDES</v>
      </c>
      <c r="D136" s="4" t="s">
        <v>596</v>
      </c>
      <c r="E136" s="5"/>
      <c r="F136" s="4" t="s">
        <v>597</v>
      </c>
      <c r="G136" s="4" t="s">
        <v>598</v>
      </c>
      <c r="H136" s="4" t="s">
        <v>599</v>
      </c>
      <c r="I136" s="10">
        <v>1</v>
      </c>
    </row>
    <row r="137" spans="1:9" x14ac:dyDescent="0.25">
      <c r="A137" s="2" t="s">
        <v>600</v>
      </c>
      <c r="B137" s="2" t="s">
        <v>595</v>
      </c>
      <c r="C137" s="9" t="str">
        <f>CONCATENATE(autopistas[[#This Row],[ZONA]]," - ",autopistas[[#This Row],[AUTOPISTA]])</f>
        <v>LA FLORIDA - AUTOVIA BS. AS. A LOS ANDES</v>
      </c>
      <c r="D137" s="4" t="s">
        <v>601</v>
      </c>
      <c r="E137" s="5"/>
      <c r="F137" s="4" t="s">
        <v>602</v>
      </c>
      <c r="G137" s="4" t="s">
        <v>603</v>
      </c>
      <c r="H137" s="4" t="s">
        <v>83</v>
      </c>
      <c r="I137" s="10">
        <v>2</v>
      </c>
    </row>
    <row r="138" spans="1:9" x14ac:dyDescent="0.25">
      <c r="A138" s="2" t="s">
        <v>604</v>
      </c>
      <c r="B138" s="2" t="s">
        <v>595</v>
      </c>
      <c r="C138" s="9" t="str">
        <f>CONCATENATE(autopistas[[#This Row],[ZONA]]," - ",autopistas[[#This Row],[AUTOPISTA]])</f>
        <v>MOLLE YACO - AUTOVIA BS. AS. A LOS ANDES</v>
      </c>
      <c r="D138" s="4" t="s">
        <v>605</v>
      </c>
      <c r="E138" s="5"/>
      <c r="F138" s="4" t="s">
        <v>606</v>
      </c>
      <c r="G138" s="4" t="s">
        <v>607</v>
      </c>
      <c r="H138" s="4" t="s">
        <v>83</v>
      </c>
      <c r="I138" s="10"/>
    </row>
    <row r="139" spans="1:9" x14ac:dyDescent="0.25">
      <c r="A139" s="2" t="s">
        <v>608</v>
      </c>
      <c r="B139" s="2" t="s">
        <v>595</v>
      </c>
      <c r="C139" s="9" t="str">
        <f>CONCATENATE(autopistas[[#This Row],[ZONA]]," - ",autopistas[[#This Row],[AUTOPISTA]])</f>
        <v>CABEZA DE BUEY - AUTOVIA BS. AS. A LOS ANDES</v>
      </c>
      <c r="D139" s="4" t="s">
        <v>609</v>
      </c>
      <c r="E139" s="5"/>
      <c r="F139" s="4" t="s">
        <v>610</v>
      </c>
      <c r="G139" s="4" t="s">
        <v>611</v>
      </c>
      <c r="H139" s="4" t="s">
        <v>83</v>
      </c>
      <c r="I139" s="10"/>
    </row>
    <row r="140" spans="1:9" x14ac:dyDescent="0.25">
      <c r="A140" s="2" t="s">
        <v>612</v>
      </c>
      <c r="B140" s="2" t="s">
        <v>613</v>
      </c>
      <c r="C140" s="9" t="str">
        <f>CONCATENATE(autopistas[[#This Row],[ZONA]]," - ",autopistas[[#This Row],[AUTOPISTA]])</f>
        <v>Pte. BELGRANO - CAMINOS DEL PARANA</v>
      </c>
      <c r="D140" s="4" t="s">
        <v>614</v>
      </c>
      <c r="E140" s="5"/>
      <c r="F140" s="4" t="s">
        <v>615</v>
      </c>
      <c r="G140" s="4" t="s">
        <v>616</v>
      </c>
      <c r="H140" s="4" t="s">
        <v>617</v>
      </c>
      <c r="I140" s="10"/>
    </row>
    <row r="141" spans="1:9" x14ac:dyDescent="0.25">
      <c r="A141" s="2" t="s">
        <v>618</v>
      </c>
      <c r="B141" s="2" t="s">
        <v>613</v>
      </c>
      <c r="C141" s="9" t="str">
        <f>CONCATENATE(autopistas[[#This Row],[ZONA]]," - ",autopistas[[#This Row],[AUTOPISTA]])</f>
        <v>MAKALLÉ - CAMINOS DEL PARANA</v>
      </c>
      <c r="D141" s="4" t="s">
        <v>619</v>
      </c>
      <c r="E141" s="5"/>
      <c r="F141" s="4" t="s">
        <v>620</v>
      </c>
      <c r="G141" s="4" t="s">
        <v>621</v>
      </c>
      <c r="H141" s="4" t="s">
        <v>622</v>
      </c>
      <c r="I141" s="10">
        <v>4</v>
      </c>
    </row>
    <row r="142" spans="1:9" x14ac:dyDescent="0.25">
      <c r="A142" s="2" t="s">
        <v>623</v>
      </c>
      <c r="B142" s="2" t="s">
        <v>613</v>
      </c>
      <c r="C142" s="9" t="str">
        <f>CONCATENATE(autopistas[[#This Row],[ZONA]]," - ",autopistas[[#This Row],[AUTOPISTA]])</f>
        <v>RIACHUELO - CAMINOS DEL PARANA</v>
      </c>
      <c r="D142" s="4" t="s">
        <v>624</v>
      </c>
      <c r="E142" s="5"/>
      <c r="F142" s="4" t="s">
        <v>625</v>
      </c>
      <c r="G142" s="4" t="s">
        <v>626</v>
      </c>
      <c r="H142" s="4" t="s">
        <v>627</v>
      </c>
      <c r="I142" s="10"/>
    </row>
    <row r="143" spans="1:9" x14ac:dyDescent="0.25">
      <c r="A143" s="2" t="s">
        <v>207</v>
      </c>
      <c r="B143" s="2" t="s">
        <v>613</v>
      </c>
      <c r="C143" s="9" t="str">
        <f>CONCATENATE(autopistas[[#This Row],[ZONA]]," - ",autopistas[[#This Row],[AUTOPISTA]])</f>
        <v>ITUZAINGÓ - CAMINOS DEL PARANA</v>
      </c>
      <c r="D143" s="4" t="s">
        <v>628</v>
      </c>
      <c r="E143" s="5"/>
      <c r="F143" s="4"/>
      <c r="G143" s="4"/>
      <c r="H143" s="4"/>
      <c r="I143" s="10"/>
    </row>
    <row r="144" spans="1:9" x14ac:dyDescent="0.25">
      <c r="A144" s="2" t="s">
        <v>629</v>
      </c>
      <c r="B144" s="2" t="s">
        <v>613</v>
      </c>
      <c r="C144" s="9" t="str">
        <f>CONCATENATE(autopistas[[#This Row],[ZONA]]," - ",autopistas[[#This Row],[AUTOPISTA]])</f>
        <v>SANTA ANA - CAMINOS DEL PARANA</v>
      </c>
      <c r="D144" s="4" t="s">
        <v>630</v>
      </c>
      <c r="E144" s="5"/>
      <c r="F144" s="4"/>
      <c r="G144" s="4"/>
      <c r="H144" s="4"/>
      <c r="I144" s="10"/>
    </row>
    <row r="145" spans="1:9" x14ac:dyDescent="0.25">
      <c r="A145" s="2" t="s">
        <v>631</v>
      </c>
      <c r="B145" s="2" t="s">
        <v>613</v>
      </c>
      <c r="C145" s="9" t="str">
        <f>CONCATENATE(autopistas[[#This Row],[ZONA]]," - ",autopistas[[#This Row],[AUTOPISTA]])</f>
        <v>Cnia. VICTORIA - CAMINOS DEL PARANA</v>
      </c>
      <c r="D145" s="4" t="s">
        <v>632</v>
      </c>
      <c r="E145" s="5"/>
      <c r="F145" s="4"/>
      <c r="G145" s="4"/>
      <c r="H145" s="4"/>
      <c r="I145" s="10"/>
    </row>
    <row r="146" spans="1:9" x14ac:dyDescent="0.25">
      <c r="A146" s="2" t="s">
        <v>633</v>
      </c>
      <c r="B146" s="2" t="s">
        <v>634</v>
      </c>
      <c r="C146" s="9" t="str">
        <f>CONCATENATE(autopistas[[#This Row],[ZONA]]," - ",autopistas[[#This Row],[AUTOPISTA]])</f>
        <v>RUTA 18 - CORREDOR VIAL 4</v>
      </c>
      <c r="D146" s="4" t="s">
        <v>635</v>
      </c>
      <c r="E146" s="5"/>
      <c r="F146" s="4" t="s">
        <v>636</v>
      </c>
      <c r="G146" s="4" t="s">
        <v>637</v>
      </c>
      <c r="H146" s="4" t="s">
        <v>633</v>
      </c>
      <c r="I146" s="10">
        <v>1</v>
      </c>
    </row>
    <row r="147" spans="1:9" x14ac:dyDescent="0.25">
      <c r="A147" s="2" t="s">
        <v>638</v>
      </c>
      <c r="B147" s="2" t="s">
        <v>639</v>
      </c>
      <c r="C147" s="9" t="str">
        <f>CONCATENATE(autopistas[[#This Row],[ZONA]]," - ",autopistas[[#This Row],[AUTOPISTA]])</f>
        <v>FACHINAL - COVINT CONCESIONARIO VIAL</v>
      </c>
      <c r="D147" s="4" t="s">
        <v>640</v>
      </c>
      <c r="E147" s="5"/>
      <c r="F147" s="4" t="s">
        <v>641</v>
      </c>
      <c r="G147" s="4" t="s">
        <v>642</v>
      </c>
      <c r="H147" s="4" t="s">
        <v>643</v>
      </c>
      <c r="I147" s="10"/>
    </row>
    <row r="148" spans="1:9" x14ac:dyDescent="0.25">
      <c r="A148" s="2" t="s">
        <v>644</v>
      </c>
      <c r="B148" s="2" t="s">
        <v>645</v>
      </c>
      <c r="C148" s="9" t="str">
        <f>CONCATENATE(autopistas[[#This Row],[ZONA]]," - ",autopistas[[#This Row],[AUTOPISTA]])</f>
        <v>TANCACHA - ENTE INTERMUNICIPAL Y COMUNAL</v>
      </c>
      <c r="D148" s="4" t="s">
        <v>646</v>
      </c>
      <c r="E148" s="5"/>
      <c r="F148" s="4" t="s">
        <v>647</v>
      </c>
      <c r="G148" s="4" t="s">
        <v>648</v>
      </c>
      <c r="H148" s="4" t="s">
        <v>649</v>
      </c>
      <c r="I148" s="10"/>
    </row>
    <row r="149" spans="1:9" x14ac:dyDescent="0.25">
      <c r="A149" s="2" t="s">
        <v>650</v>
      </c>
      <c r="B149" s="2" t="s">
        <v>645</v>
      </c>
      <c r="C149" s="9" t="str">
        <f>CONCATENATE(autopistas[[#This Row],[ZONA]]," - ",autopistas[[#This Row],[AUTOPISTA]])</f>
        <v>DAMALCIO VELEZ - ENTE INTERMUNICIPAL Y COMUNAL</v>
      </c>
      <c r="D149" s="4" t="s">
        <v>651</v>
      </c>
      <c r="E149" s="5"/>
      <c r="F149" s="4" t="s">
        <v>652</v>
      </c>
      <c r="G149" s="4" t="s">
        <v>653</v>
      </c>
      <c r="H149" s="4" t="s">
        <v>649</v>
      </c>
      <c r="I149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</dc:creator>
  <cp:lastModifiedBy>FRANCIS</cp:lastModifiedBy>
  <dcterms:created xsi:type="dcterms:W3CDTF">2026-08-03T15:28:00Z</dcterms:created>
  <dcterms:modified xsi:type="dcterms:W3CDTF">2026-08-03T15:29:12Z</dcterms:modified>
</cp:coreProperties>
</file>